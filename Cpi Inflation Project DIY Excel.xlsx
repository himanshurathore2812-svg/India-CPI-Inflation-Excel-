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7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Rathore\Documents\My Project Excel\"/>
    </mc:Choice>
  </mc:AlternateContent>
  <xr:revisionPtr revIDLastSave="0" documentId="13_ncr:1_{4AE49636-AB27-4F4A-96DF-33420AF86636}" xr6:coauthVersionLast="47" xr6:coauthVersionMax="47" xr10:uidLastSave="{00000000-0000-0000-0000-000000000000}"/>
  <bookViews>
    <workbookView xWindow="-108" yWindow="-108" windowWidth="23256" windowHeight="12456" firstSheet="1" activeTab="2" xr2:uid="{645B4F14-7AD7-48FD-A63E-B5086B4A2D3D}"/>
  </bookViews>
  <sheets>
    <sheet name="Sheet1" sheetId="2" r:id="rId1"/>
    <sheet name="All_India_Index_Upto_April23 (1" sheetId="1" r:id="rId2"/>
    <sheet name="trends in oil price change with" sheetId="18" r:id="rId3"/>
    <sheet name="Before and After Covid 19 Infla" sheetId="17" r:id="rId4"/>
    <sheet name=" Food inflation Month-on-Month" sheetId="7" r:id="rId5"/>
    <sheet name="Contribution Ratio of Category" sheetId="3" r:id="rId6"/>
    <sheet name="Trend of YOY Increse in CPI" sheetId="6" r:id="rId7"/>
    <sheet name="Dashboard" sheetId="19" r:id="rId8"/>
  </sheets>
  <definedNames>
    <definedName name="_xlnm._FilterDatabase" localSheetId="4" hidden="1">' Food inflation Month-on-Month'!$F$224:$G$237</definedName>
    <definedName name="_xlnm._FilterDatabase" localSheetId="1" hidden="1">'All_India_Index_Upto_April23 (1'!$A$1:$AD$373</definedName>
    <definedName name="_xlchart.v1.0" hidden="1">'trends in oil price change with'!$B$35:$B$60</definedName>
    <definedName name="_xlchart.v1.1" hidden="1">'trends in oil price change with'!$C$34</definedName>
    <definedName name="_xlchart.v1.10" hidden="1">' Food inflation Month-on-Month'!$C$105:$C$106</definedName>
    <definedName name="_xlchart.v1.11" hidden="1">' Food inflation Month-on-Month'!$C$107:$C$118</definedName>
    <definedName name="_xlchart.v1.12" hidden="1">' Food inflation Month-on-Month'!$B$64:$B$75</definedName>
    <definedName name="_xlchart.v1.13" hidden="1">' Food inflation Month-on-Month'!$C$62:$C$63</definedName>
    <definedName name="_xlchart.v1.14" hidden="1">' Food inflation Month-on-Month'!$C$64:$C$75</definedName>
    <definedName name="_xlchart.v1.15" hidden="1">' Food inflation Month-on-Month'!$F$225:$F$237</definedName>
    <definedName name="_xlchart.v1.16" hidden="1">' Food inflation Month-on-Month'!$G$224</definedName>
    <definedName name="_xlchart.v1.17" hidden="1">' Food inflation Month-on-Month'!$G$225:$G$237</definedName>
    <definedName name="_xlchart.v1.18" hidden="1">' Food inflation Month-on-Month'!$F$134:$F$146</definedName>
    <definedName name="_xlchart.v1.19" hidden="1">' Food inflation Month-on-Month'!$G$133</definedName>
    <definedName name="_xlchart.v1.2" hidden="1">'trends in oil price change with'!$C$35:$C$60</definedName>
    <definedName name="_xlchart.v1.20" hidden="1">' Food inflation Month-on-Month'!$G$134:$G$146</definedName>
    <definedName name="_xlchart.v1.21" hidden="1">' Food inflation Month-on-Month'!$F$178:$F$190</definedName>
    <definedName name="_xlchart.v1.22" hidden="1">' Food inflation Month-on-Month'!$G$177</definedName>
    <definedName name="_xlchart.v1.23" hidden="1">' Food inflation Month-on-Month'!$G$178:$G$190</definedName>
    <definedName name="_xlchart.v1.24" hidden="1">'trends in oil price change with'!$B$35:$B$60</definedName>
    <definedName name="_xlchart.v1.25" hidden="1">'trends in oil price change with'!$C$34</definedName>
    <definedName name="_xlchart.v1.26" hidden="1">'trends in oil price change with'!$C$35:$C$60</definedName>
    <definedName name="_xlchart.v1.27" hidden="1">'trends in oil price change with'!$B$35:$B$60</definedName>
    <definedName name="_xlchart.v1.28" hidden="1">'trends in oil price change with'!$C$34</definedName>
    <definedName name="_xlchart.v1.29" hidden="1">'trends in oil price change with'!$C$35:$C$60</definedName>
    <definedName name="_xlchart.v1.3" hidden="1">'trends in oil price change with'!$B$35:$B$60</definedName>
    <definedName name="_xlchart.v1.4" hidden="1">'trends in oil price change with'!$C$34</definedName>
    <definedName name="_xlchart.v1.5" hidden="1">'trends in oil price change with'!$C$35:$C$60</definedName>
    <definedName name="_xlchart.v1.6" hidden="1">' Food inflation Month-on-Month'!$B$22:$B$33</definedName>
    <definedName name="_xlchart.v1.7" hidden="1">' Food inflation Month-on-Month'!$C$20:$C$21</definedName>
    <definedName name="_xlchart.v1.8" hidden="1">' Food inflation Month-on-Month'!$C$22:$C$33</definedName>
    <definedName name="_xlchart.v1.9" hidden="1">' Food inflation Month-on-Month'!$B$107:$B$118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D130" i="18"/>
  <c r="E130" i="18"/>
  <c r="F130" i="18"/>
  <c r="G130" i="18"/>
  <c r="H130" i="18"/>
  <c r="I130" i="18"/>
  <c r="J130" i="18"/>
  <c r="K130" i="18"/>
  <c r="L130" i="18"/>
  <c r="M130" i="18"/>
  <c r="N130" i="18"/>
  <c r="O130" i="18"/>
  <c r="P130" i="18"/>
  <c r="Q130" i="18"/>
  <c r="R130" i="18"/>
  <c r="S130" i="18"/>
  <c r="T130" i="18"/>
  <c r="U130" i="18"/>
  <c r="V130" i="18"/>
  <c r="W130" i="18"/>
  <c r="X130" i="18"/>
  <c r="Y130" i="18"/>
  <c r="Z130" i="18"/>
  <c r="AA130" i="18"/>
  <c r="AB130" i="18"/>
  <c r="AC130" i="18"/>
  <c r="C130" i="18"/>
  <c r="U67" i="18"/>
  <c r="V67" i="18"/>
  <c r="W67" i="18"/>
  <c r="X67" i="18"/>
  <c r="Y67" i="18"/>
  <c r="Z67" i="18"/>
  <c r="AA67" i="18"/>
  <c r="AB67" i="18"/>
  <c r="AC67" i="18"/>
  <c r="T67" i="18"/>
  <c r="E67" i="18"/>
  <c r="D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C67" i="18"/>
  <c r="C4" i="18"/>
  <c r="D263" i="1"/>
  <c r="G113" i="17"/>
  <c r="F113" i="17"/>
  <c r="E113" i="17"/>
  <c r="D113" i="17"/>
  <c r="C113" i="17"/>
  <c r="N142" i="17"/>
  <c r="N143" i="17"/>
  <c r="N144" i="17"/>
  <c r="N145" i="17"/>
  <c r="N146" i="17"/>
  <c r="N147" i="17"/>
  <c r="N148" i="17"/>
  <c r="N149" i="17"/>
  <c r="N150" i="17"/>
  <c r="N141" i="17"/>
  <c r="N114" i="17"/>
  <c r="D112" i="17" s="1"/>
  <c r="N115" i="17"/>
  <c r="N116" i="17"/>
  <c r="N117" i="17"/>
  <c r="N118" i="17"/>
  <c r="F112" i="17" s="1"/>
  <c r="N119" i="17"/>
  <c r="N120" i="17"/>
  <c r="N121" i="17"/>
  <c r="N113" i="17"/>
  <c r="C112" i="17" s="1"/>
  <c r="N112" i="17"/>
  <c r="G67" i="17"/>
  <c r="F67" i="17"/>
  <c r="C67" i="17"/>
  <c r="D67" i="17"/>
  <c r="E67" i="17"/>
  <c r="N94" i="17"/>
  <c r="N95" i="17"/>
  <c r="N96" i="17"/>
  <c r="N97" i="17"/>
  <c r="N98" i="17"/>
  <c r="N99" i="17"/>
  <c r="N100" i="17"/>
  <c r="N101" i="17"/>
  <c r="N102" i="17"/>
  <c r="N93" i="17"/>
  <c r="N73" i="17"/>
  <c r="N67" i="17"/>
  <c r="N66" i="17"/>
  <c r="N65" i="17"/>
  <c r="N68" i="17"/>
  <c r="N69" i="17"/>
  <c r="N70" i="17"/>
  <c r="N71" i="17"/>
  <c r="N72" i="17"/>
  <c r="N64" i="17"/>
  <c r="N17" i="17"/>
  <c r="N48" i="17"/>
  <c r="N49" i="17"/>
  <c r="N50" i="17"/>
  <c r="N51" i="17"/>
  <c r="N52" i="17"/>
  <c r="N53" i="17"/>
  <c r="N54" i="17"/>
  <c r="N55" i="17"/>
  <c r="N56" i="17"/>
  <c r="N47" i="17"/>
  <c r="G16" i="17"/>
  <c r="F16" i="17"/>
  <c r="E16" i="17"/>
  <c r="D16" i="17"/>
  <c r="C16" i="17"/>
  <c r="N22" i="17"/>
  <c r="N21" i="17"/>
  <c r="N20" i="17"/>
  <c r="N19" i="17"/>
  <c r="N18" i="17"/>
  <c r="C15" i="17" s="1"/>
  <c r="N23" i="17"/>
  <c r="N24" i="17"/>
  <c r="N25" i="17"/>
  <c r="N26" i="17"/>
  <c r="G15" i="17" s="1"/>
  <c r="N27" i="17"/>
  <c r="A2" i="17"/>
  <c r="A3" i="17" s="1"/>
  <c r="A4" i="17" s="1"/>
  <c r="A5" i="17" s="1"/>
  <c r="A6" i="17" s="1"/>
  <c r="A7" i="17" s="1"/>
  <c r="C238" i="7"/>
  <c r="D227" i="7" s="1"/>
  <c r="C191" i="7"/>
  <c r="D179" i="7" s="1"/>
  <c r="C147" i="7"/>
  <c r="D137" i="7" s="1"/>
  <c r="L7" i="3"/>
  <c r="C97" i="7"/>
  <c r="C86" i="7"/>
  <c r="C87" i="7"/>
  <c r="C88" i="7"/>
  <c r="C89" i="7"/>
  <c r="C90" i="7"/>
  <c r="C91" i="7"/>
  <c r="C92" i="7"/>
  <c r="C93" i="7"/>
  <c r="C94" i="7"/>
  <c r="C95" i="7"/>
  <c r="C96" i="7"/>
  <c r="C85" i="7"/>
  <c r="C56" i="7"/>
  <c r="C45" i="7"/>
  <c r="C46" i="7"/>
  <c r="C47" i="7"/>
  <c r="C48" i="7"/>
  <c r="C49" i="7"/>
  <c r="C50" i="7"/>
  <c r="C51" i="7"/>
  <c r="C52" i="7"/>
  <c r="C53" i="7"/>
  <c r="C54" i="7"/>
  <c r="C55" i="7"/>
  <c r="C44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F39" i="6"/>
  <c r="F40" i="6" s="1"/>
  <c r="F41" i="6" s="1"/>
  <c r="F42" i="6" s="1"/>
  <c r="F43" i="6" s="1"/>
  <c r="F44" i="6" s="1"/>
  <c r="D39" i="6"/>
  <c r="D40" i="6"/>
  <c r="D41" i="6"/>
  <c r="D42" i="6"/>
  <c r="D43" i="6"/>
  <c r="D38" i="6"/>
  <c r="A39" i="6"/>
  <c r="A40" i="6" s="1"/>
  <c r="A41" i="6" s="1"/>
  <c r="A42" i="6" s="1"/>
  <c r="A43" i="6" s="1"/>
  <c r="A44" i="6" s="1"/>
  <c r="F21" i="6"/>
  <c r="F22" i="6" s="1"/>
  <c r="F23" i="6" s="1"/>
  <c r="F24" i="6" s="1"/>
  <c r="F25" i="6" s="1"/>
  <c r="F26" i="6" s="1"/>
  <c r="D21" i="6"/>
  <c r="D22" i="6"/>
  <c r="D23" i="6"/>
  <c r="D24" i="6"/>
  <c r="D25" i="6"/>
  <c r="D20" i="6"/>
  <c r="A21" i="6"/>
  <c r="A22" i="6" s="1"/>
  <c r="A23" i="6" s="1"/>
  <c r="A24" i="6" s="1"/>
  <c r="A25" i="6" s="1"/>
  <c r="A26" i="6" s="1"/>
  <c r="D5" i="6"/>
  <c r="D6" i="6"/>
  <c r="D7" i="6"/>
  <c r="D8" i="6"/>
  <c r="D9" i="6"/>
  <c r="F5" i="6"/>
  <c r="F6" i="6" s="1"/>
  <c r="F7" i="6" s="1"/>
  <c r="F8" i="6" s="1"/>
  <c r="F9" i="6" s="1"/>
  <c r="F10" i="6" s="1"/>
  <c r="A5" i="6"/>
  <c r="A6" i="6" s="1"/>
  <c r="A7" i="6" s="1"/>
  <c r="A8" i="6" s="1"/>
  <c r="A9" i="6" s="1"/>
  <c r="A10" i="6" s="1"/>
  <c r="T263" i="1"/>
  <c r="S263" i="1"/>
  <c r="R263" i="1"/>
  <c r="Q263" i="1"/>
  <c r="O263" i="1"/>
  <c r="E263" i="1"/>
  <c r="L34" i="3"/>
  <c r="L35" i="3"/>
  <c r="L36" i="3"/>
  <c r="L37" i="3"/>
  <c r="L38" i="3"/>
  <c r="L39" i="3"/>
  <c r="L40" i="3"/>
  <c r="L33" i="3"/>
  <c r="L8" i="3"/>
  <c r="L9" i="3"/>
  <c r="L10" i="3"/>
  <c r="L11" i="3"/>
  <c r="L12" i="3"/>
  <c r="L13" i="3"/>
  <c r="L14" i="3"/>
  <c r="L21" i="3"/>
  <c r="L22" i="3"/>
  <c r="L23" i="3"/>
  <c r="L24" i="3"/>
  <c r="L25" i="3"/>
  <c r="L26" i="3"/>
  <c r="L27" i="3"/>
  <c r="L28" i="3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D265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D264" i="1"/>
  <c r="E11" i="2"/>
  <c r="F263" i="1"/>
  <c r="G263" i="1"/>
  <c r="H263" i="1"/>
  <c r="I263" i="1"/>
  <c r="J263" i="1"/>
  <c r="K263" i="1"/>
  <c r="L263" i="1"/>
  <c r="M263" i="1"/>
  <c r="N263" i="1"/>
  <c r="P263" i="1"/>
  <c r="V263" i="1"/>
  <c r="W263" i="1"/>
  <c r="X263" i="1"/>
  <c r="Y263" i="1"/>
  <c r="Z263" i="1"/>
  <c r="AA263" i="1"/>
  <c r="AB263" i="1"/>
  <c r="AC263" i="1"/>
  <c r="AD263" i="1"/>
  <c r="D11" i="2"/>
  <c r="E3" i="2"/>
  <c r="E2" i="2"/>
  <c r="D17" i="17" l="1"/>
  <c r="E66" i="17"/>
  <c r="G114" i="17"/>
  <c r="E114" i="17"/>
  <c r="G68" i="17"/>
  <c r="F17" i="17"/>
  <c r="D66" i="17"/>
  <c r="E68" i="17"/>
  <c r="F66" i="17"/>
  <c r="F114" i="17"/>
  <c r="D114" i="17"/>
  <c r="C68" i="17"/>
  <c r="C66" i="17"/>
  <c r="G17" i="17"/>
  <c r="E17" i="17"/>
  <c r="C17" i="17"/>
  <c r="G66" i="17"/>
  <c r="F68" i="17"/>
  <c r="D68" i="17"/>
  <c r="G112" i="17"/>
  <c r="E112" i="17"/>
  <c r="C114" i="17"/>
  <c r="F15" i="17"/>
  <c r="E15" i="17"/>
  <c r="D15" i="17"/>
  <c r="L41" i="3"/>
  <c r="M35" i="3" s="1"/>
  <c r="D225" i="7"/>
  <c r="D234" i="7"/>
  <c r="D230" i="7"/>
  <c r="D226" i="7"/>
  <c r="D237" i="7"/>
  <c r="D233" i="7"/>
  <c r="D229" i="7"/>
  <c r="D236" i="7"/>
  <c r="D232" i="7"/>
  <c r="D228" i="7"/>
  <c r="D235" i="7"/>
  <c r="D231" i="7"/>
  <c r="D190" i="7"/>
  <c r="D186" i="7"/>
  <c r="D182" i="7"/>
  <c r="D181" i="7"/>
  <c r="D134" i="7"/>
  <c r="D188" i="7"/>
  <c r="D184" i="7"/>
  <c r="D180" i="7"/>
  <c r="D189" i="7"/>
  <c r="D185" i="7"/>
  <c r="D178" i="7"/>
  <c r="D187" i="7"/>
  <c r="D183" i="7"/>
  <c r="D144" i="7"/>
  <c r="D140" i="7"/>
  <c r="D139" i="7"/>
  <c r="D136" i="7"/>
  <c r="D143" i="7"/>
  <c r="D135" i="7"/>
  <c r="D146" i="7"/>
  <c r="D142" i="7"/>
  <c r="D138" i="7"/>
  <c r="D6" i="7"/>
  <c r="D145" i="7"/>
  <c r="D141" i="7"/>
  <c r="D53" i="7"/>
  <c r="D15" i="7"/>
  <c r="D11" i="7"/>
  <c r="D7" i="7"/>
  <c r="D54" i="7"/>
  <c r="D92" i="7"/>
  <c r="D88" i="7"/>
  <c r="D50" i="7"/>
  <c r="D91" i="7"/>
  <c r="D47" i="7"/>
  <c r="D87" i="7"/>
  <c r="D96" i="7"/>
  <c r="D49" i="7"/>
  <c r="D14" i="7"/>
  <c r="D10" i="7"/>
  <c r="D45" i="7"/>
  <c r="D95" i="7"/>
  <c r="D13" i="7"/>
  <c r="D9" i="7"/>
  <c r="D5" i="7"/>
  <c r="D52" i="7"/>
  <c r="D48" i="7"/>
  <c r="D94" i="7"/>
  <c r="D90" i="7"/>
  <c r="D56" i="7"/>
  <c r="D86" i="7"/>
  <c r="D12" i="7"/>
  <c r="D8" i="7"/>
  <c r="D4" i="7"/>
  <c r="D93" i="7"/>
  <c r="D89" i="7"/>
  <c r="D97" i="7"/>
  <c r="D46" i="7"/>
  <c r="D55" i="7"/>
  <c r="D51" i="7"/>
  <c r="M37" i="3"/>
  <c r="M36" i="3"/>
  <c r="M39" i="3"/>
  <c r="L29" i="3"/>
  <c r="M25" i="3" s="1"/>
  <c r="M33" i="3"/>
  <c r="L15" i="3"/>
  <c r="M8" i="3" s="1"/>
  <c r="M24" i="3" l="1"/>
  <c r="M34" i="3"/>
  <c r="M40" i="3"/>
  <c r="M21" i="3"/>
  <c r="M38" i="3"/>
  <c r="M7" i="3"/>
  <c r="M11" i="3"/>
  <c r="M22" i="3"/>
  <c r="M27" i="3"/>
  <c r="M23" i="3"/>
  <c r="M26" i="3"/>
  <c r="M28" i="3"/>
  <c r="M13" i="3"/>
  <c r="M10" i="3"/>
  <c r="M12" i="3"/>
  <c r="M14" i="3"/>
  <c r="M9" i="3"/>
</calcChain>
</file>

<file path=xl/sharedStrings.xml><?xml version="1.0" encoding="utf-8"?>
<sst xmlns="http://schemas.openxmlformats.org/spreadsheetml/2006/main" count="1900" uniqueCount="117">
  <si>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</si>
  <si>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</si>
  <si>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</si>
  <si>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</si>
  <si>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</si>
  <si>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</si>
  <si>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</si>
  <si>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</si>
  <si>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</si>
  <si>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</si>
  <si>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</si>
  <si>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</si>
  <si>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</si>
  <si>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</si>
  <si>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</si>
  <si>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</si>
  <si>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</si>
  <si>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</si>
  <si>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</si>
  <si>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</si>
  <si>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</si>
  <si>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</si>
  <si>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</si>
  <si>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</si>
  <si>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</si>
  <si>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</si>
  <si>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</si>
  <si>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</si>
  <si>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</si>
  <si>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</si>
  <si>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</si>
  <si>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</si>
  <si>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</si>
  <si>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</si>
  <si>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</si>
  <si>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</si>
  <si>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</si>
  <si>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</si>
  <si>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</si>
  <si>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</si>
  <si>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</si>
  <si>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</si>
  <si>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</si>
  <si>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</si>
  <si>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</si>
  <si>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</si>
  <si>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</si>
  <si>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</si>
  <si>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</si>
  <si>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MoM change</t>
  </si>
  <si>
    <t>YoY change</t>
  </si>
  <si>
    <t>Moving Average</t>
  </si>
  <si>
    <t>Time series</t>
  </si>
  <si>
    <t>CPI</t>
  </si>
  <si>
    <t>Moving Avg</t>
  </si>
  <si>
    <t>3 Month(Moving Avg)</t>
  </si>
  <si>
    <t>Jan</t>
  </si>
  <si>
    <t>Feb</t>
  </si>
  <si>
    <t>Jun</t>
  </si>
  <si>
    <t>Broader Category</t>
  </si>
  <si>
    <t>Food</t>
  </si>
  <si>
    <t>Misc</t>
  </si>
  <si>
    <t>Transport</t>
  </si>
  <si>
    <t>Energy</t>
  </si>
  <si>
    <t>Heath</t>
  </si>
  <si>
    <t>Contribution %</t>
  </si>
  <si>
    <t>Urban + Rural</t>
  </si>
  <si>
    <t xml:space="preserve">Year </t>
  </si>
  <si>
    <t xml:space="preserve">Jan </t>
  </si>
  <si>
    <t>Dec</t>
  </si>
  <si>
    <t>YoY % Change</t>
  </si>
  <si>
    <t>We have data only till May 2023</t>
  </si>
  <si>
    <t>Highlight the reason why the year has the highest inflation (based on research).</t>
  </si>
  <si>
    <r>
      <t xml:space="preserve">In </t>
    </r>
    <r>
      <rPr>
        <b/>
        <sz val="11"/>
        <color theme="1"/>
        <rFont val="Calibri"/>
        <family val="2"/>
        <scheme val="minor"/>
      </rPr>
      <t>2019</t>
    </r>
    <r>
      <rPr>
        <sz val="11"/>
        <color theme="1"/>
        <rFont val="Calibri"/>
        <family val="2"/>
        <scheme val="minor"/>
      </rPr>
      <t>, India’s inflation was highest mainly due to:</t>
    </r>
  </si>
  <si>
    <r>
      <t>1. Rising food prices</t>
    </r>
    <r>
      <rPr>
        <sz val="11"/>
        <color theme="1"/>
        <rFont val="Calibri"/>
        <family val="2"/>
        <scheme val="minor"/>
      </rPr>
      <t xml:space="preserve"> – especially onions, vegetables, and pulses.</t>
    </r>
  </si>
  <si>
    <r>
      <t>2. High crude oil prices</t>
    </r>
    <r>
      <rPr>
        <sz val="11"/>
        <color theme="1"/>
        <rFont val="Calibri"/>
        <family val="2"/>
        <scheme val="minor"/>
      </rPr>
      <t xml:space="preserve"> – increased fuel and transport costs.</t>
    </r>
  </si>
  <si>
    <r>
      <t>3. Irregular monsoon</t>
    </r>
    <r>
      <rPr>
        <sz val="11"/>
        <color theme="1"/>
        <rFont val="Calibri"/>
        <family val="2"/>
        <scheme val="minor"/>
      </rPr>
      <t xml:space="preserve"> – affected crop production and supply.</t>
    </r>
  </si>
  <si>
    <r>
      <t>4. Weak rupee</t>
    </r>
    <r>
      <rPr>
        <sz val="11"/>
        <color theme="1"/>
        <rFont val="Calibri"/>
        <family val="2"/>
        <scheme val="minor"/>
      </rPr>
      <t xml:space="preserve"> – made imports costlier.</t>
    </r>
  </si>
  <si>
    <t>Food CPI</t>
  </si>
  <si>
    <t>M-o-M%</t>
  </si>
  <si>
    <t>Category</t>
  </si>
  <si>
    <r>
      <t xml:space="preserve">Highest Food in Urban Sector : - </t>
    </r>
    <r>
      <rPr>
        <b/>
        <sz val="20"/>
        <color theme="4"/>
        <rFont val="Calibri"/>
        <family val="2"/>
        <scheme val="minor"/>
      </rPr>
      <t>JUNE</t>
    </r>
  </si>
  <si>
    <r>
      <t xml:space="preserve">Lowest Food in Urban Sector  : - </t>
    </r>
    <r>
      <rPr>
        <b/>
        <sz val="20"/>
        <color theme="5"/>
        <rFont val="Calibri"/>
        <family val="2"/>
        <scheme val="minor"/>
      </rPr>
      <t>DECEMBER</t>
    </r>
  </si>
  <si>
    <t>Individual Category</t>
  </si>
  <si>
    <t>Contribution</t>
  </si>
  <si>
    <t>Rural Sector</t>
  </si>
  <si>
    <t>Urban Sector</t>
  </si>
  <si>
    <t>(Urban+Rural) Sector</t>
  </si>
  <si>
    <t>Before</t>
  </si>
  <si>
    <t>After</t>
  </si>
  <si>
    <t>Covid</t>
  </si>
  <si>
    <t xml:space="preserve">Rural </t>
  </si>
  <si>
    <t>FOOD CPI</t>
  </si>
  <si>
    <t>Health care</t>
  </si>
  <si>
    <t>Essential Services</t>
  </si>
  <si>
    <t>Health FOOD CPI</t>
  </si>
  <si>
    <t>Oil Prices</t>
  </si>
  <si>
    <t>Date</t>
  </si>
  <si>
    <t>Trends in oil price change with change in inflation prices</t>
  </si>
  <si>
    <t>CATEGORY</t>
  </si>
  <si>
    <t>Inflation%</t>
  </si>
  <si>
    <t>Urban + Rural Sector</t>
  </si>
  <si>
    <r>
      <t xml:space="preserve">Highest Food Inflation in Rural Sector : - </t>
    </r>
    <r>
      <rPr>
        <b/>
        <sz val="20"/>
        <color theme="4"/>
        <rFont val="Calibri"/>
        <family val="2"/>
        <scheme val="minor"/>
      </rPr>
      <t>JUNE</t>
    </r>
  </si>
  <si>
    <r>
      <t xml:space="preserve">Lowest Food  Inflation in Rural Sector  : - </t>
    </r>
    <r>
      <rPr>
        <b/>
        <sz val="20"/>
        <color theme="5"/>
        <rFont val="Calibri"/>
        <family val="2"/>
        <scheme val="minor"/>
      </rPr>
      <t>FEBRUARY</t>
    </r>
  </si>
  <si>
    <r>
      <t xml:space="preserve">Highest Food Inflation in (Urban+Rural) Sector : - </t>
    </r>
    <r>
      <rPr>
        <b/>
        <sz val="20"/>
        <color theme="4"/>
        <rFont val="Calibri"/>
        <family val="2"/>
        <scheme val="minor"/>
      </rPr>
      <t>JUNE</t>
    </r>
  </si>
  <si>
    <r>
      <t xml:space="preserve">Lowest Food inflation in (Urban+Rural) Sector  : - </t>
    </r>
    <r>
      <rPr>
        <b/>
        <sz val="20"/>
        <color theme="5"/>
        <rFont val="Calibri"/>
        <family val="2"/>
        <scheme val="minor"/>
      </rPr>
      <t>FEBRUARY &amp; DECEMBER</t>
    </r>
  </si>
  <si>
    <r>
      <t xml:space="preserve">Lowest individual category contributor  in Rural Sector  : - </t>
    </r>
    <r>
      <rPr>
        <b/>
        <sz val="20"/>
        <color theme="5"/>
        <rFont val="Calibri"/>
        <family val="2"/>
        <scheme val="minor"/>
      </rPr>
      <t>Food and beverages</t>
    </r>
  </si>
  <si>
    <r>
      <t xml:space="preserve">Biggest individual category contributor  in Rural Sector : - </t>
    </r>
    <r>
      <rPr>
        <b/>
        <sz val="20"/>
        <color theme="4"/>
        <rFont val="Calibri"/>
        <family val="2"/>
        <scheme val="minor"/>
      </rPr>
      <t>Meat and Fish</t>
    </r>
  </si>
  <si>
    <r>
      <t xml:space="preserve">Biggest individual category contributor  in Urban Sector : - </t>
    </r>
    <r>
      <rPr>
        <b/>
        <sz val="20"/>
        <color theme="4"/>
        <rFont val="Calibri"/>
        <family val="2"/>
        <scheme val="minor"/>
      </rPr>
      <t>Meat and Fish</t>
    </r>
  </si>
  <si>
    <r>
      <t xml:space="preserve">Lowest individual category contributor  in Urban Sector  : - </t>
    </r>
    <r>
      <rPr>
        <b/>
        <sz val="20"/>
        <color theme="5"/>
        <rFont val="Calibri"/>
        <family val="2"/>
        <scheme val="minor"/>
      </rPr>
      <t>Sugar and Confectionery</t>
    </r>
  </si>
  <si>
    <r>
      <t xml:space="preserve">Biggest individual category contributor  in (U+R) Sector : - </t>
    </r>
    <r>
      <rPr>
        <b/>
        <sz val="20"/>
        <color theme="4"/>
        <rFont val="Calibri"/>
        <family val="2"/>
        <scheme val="minor"/>
      </rPr>
      <t>Meat and Fish</t>
    </r>
  </si>
  <si>
    <r>
      <t xml:space="preserve">Lowest individual category contributor  in (U+R)  Sector  : - </t>
    </r>
    <r>
      <rPr>
        <b/>
        <sz val="20"/>
        <color theme="5"/>
        <rFont val="Calibri"/>
        <family val="2"/>
        <scheme val="minor"/>
      </rPr>
      <t>Sugar and Confectionery</t>
    </r>
  </si>
  <si>
    <t>Identify the biggest individual category contributor (only within broader food category) towards inflation ?</t>
  </si>
  <si>
    <r>
      <t xml:space="preserve">Inflation trend Before Covid  : - </t>
    </r>
    <r>
      <rPr>
        <b/>
        <sz val="20"/>
        <color rgb="FF0070C0"/>
        <rFont val="Calibri"/>
        <family val="2"/>
        <scheme val="minor"/>
      </rPr>
      <t>Food Has High inflation</t>
    </r>
  </si>
  <si>
    <r>
      <t xml:space="preserve">Inflation trend After Covid   : - </t>
    </r>
    <r>
      <rPr>
        <b/>
        <sz val="20"/>
        <color theme="9"/>
        <rFont val="Calibri"/>
        <family val="2"/>
        <scheme val="minor"/>
      </rPr>
      <t>Essential services have High inflation</t>
    </r>
  </si>
  <si>
    <r>
      <t xml:space="preserve">Inflation trend Before Covid  : - </t>
    </r>
    <r>
      <rPr>
        <b/>
        <sz val="20"/>
        <color rgb="FF0070C0"/>
        <rFont val="Calibri"/>
        <family val="2"/>
        <scheme val="minor"/>
      </rPr>
      <t>Food &amp; Health care have High inflation</t>
    </r>
  </si>
  <si>
    <t>INDIA CPI INFLATION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</si>
</sst>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20"/>
      <color theme="4"/>
      <name val="Calibri"/>
      <family val="2"/>
      <scheme val="minor"/>
    </font>
    <font>
      <sz val="20"/>
      <color theme="1"/>
      <name val="Anek Gujarati ExtraBold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9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8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13" fillId="33" borderId="0" xfId="0" applyFont="1" applyFill="1"/>
    <xf numFmtId="164" fontId="0" fillId="0" borderId="0" xfId="1" applyNumberFormat="1" applyFont="1"/>
    <xf numFmtId="0" fontId="18" fillId="0" borderId="0" xfId="0" applyFont="1"/>
    <xf numFmtId="1" fontId="0" fillId="0" borderId="0" xfId="0" applyNumberFormat="1"/>
    <xf numFmtId="0" fontId="16" fillId="34" borderId="10" xfId="0" applyFont="1" applyFill="1" applyBorder="1"/>
    <xf numFmtId="0" fontId="13" fillId="9" borderId="11" xfId="19" applyFont="1" applyBorder="1"/>
    <xf numFmtId="0" fontId="17" fillId="9" borderId="0" xfId="19"/>
    <xf numFmtId="0" fontId="17" fillId="13" borderId="11" xfId="23" applyBorder="1"/>
    <xf numFmtId="0" fontId="17" fillId="13" borderId="10" xfId="23" applyBorder="1"/>
    <xf numFmtId="0" fontId="17" fillId="13" borderId="0" xfId="23"/>
    <xf numFmtId="9" fontId="17" fillId="9" borderId="0" xfId="19" applyNumberFormat="1"/>
    <xf numFmtId="0" fontId="0" fillId="0" borderId="10" xfId="0" applyBorder="1"/>
    <xf numFmtId="9" fontId="0" fillId="0" borderId="10" xfId="1" applyFont="1" applyBorder="1"/>
    <xf numFmtId="0" fontId="17" fillId="25" borderId="0" xfId="35"/>
    <xf numFmtId="0" fontId="17" fillId="29" borderId="0" xfId="39"/>
    <xf numFmtId="0" fontId="17" fillId="33" borderId="0" xfId="39" applyFill="1"/>
    <xf numFmtId="0" fontId="19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10" fontId="0" fillId="0" borderId="0" xfId="1" applyNumberFormat="1" applyFont="1"/>
    <xf numFmtId="164" fontId="17" fillId="33" borderId="0" xfId="1" applyNumberFormat="1" applyFont="1" applyFill="1"/>
    <xf numFmtId="0" fontId="13" fillId="36" borderId="0" xfId="0" applyFont="1" applyFill="1"/>
    <xf numFmtId="0" fontId="20" fillId="0" borderId="0" xfId="0" applyFont="1"/>
    <xf numFmtId="0" fontId="0" fillId="35" borderId="12" xfId="0" applyFill="1" applyBorder="1"/>
    <xf numFmtId="0" fontId="0" fillId="0" borderId="12" xfId="0" applyBorder="1"/>
    <xf numFmtId="0" fontId="13" fillId="33" borderId="10" xfId="0" applyFont="1" applyFill="1" applyBorder="1"/>
    <xf numFmtId="0" fontId="13" fillId="36" borderId="10" xfId="0" applyFont="1" applyFill="1" applyBorder="1"/>
    <xf numFmtId="164" fontId="0" fillId="0" borderId="10" xfId="1" applyNumberFormat="1" applyFont="1" applyBorder="1"/>
    <xf numFmtId="164" fontId="17" fillId="13" borderId="10" xfId="23" applyNumberFormat="1" applyBorder="1"/>
    <xf numFmtId="164" fontId="17" fillId="9" borderId="10" xfId="19" applyNumberFormat="1" applyBorder="1"/>
    <xf numFmtId="164" fontId="13" fillId="13" borderId="10" xfId="23" applyNumberFormat="1" applyFont="1" applyBorder="1"/>
    <xf numFmtId="164" fontId="13" fillId="9" borderId="10" xfId="19" applyNumberFormat="1" applyFont="1" applyBorder="1"/>
    <xf numFmtId="0" fontId="16" fillId="0" borderId="0" xfId="0" applyFont="1"/>
    <xf numFmtId="0" fontId="17" fillId="17" borderId="0" xfId="27"/>
    <xf numFmtId="0" fontId="13" fillId="13" borderId="14" xfId="23" applyFont="1" applyBorder="1"/>
    <xf numFmtId="0" fontId="13" fillId="9" borderId="12" xfId="19" applyFont="1" applyBorder="1"/>
    <xf numFmtId="0" fontId="13" fillId="13" borderId="13" xfId="23" applyFont="1" applyBorder="1"/>
    <xf numFmtId="165" fontId="0" fillId="0" borderId="0" xfId="0" applyNumberFormat="1"/>
    <xf numFmtId="0" fontId="23" fillId="0" borderId="0" xfId="0" applyFont="1"/>
    <xf numFmtId="0" fontId="25" fillId="0" borderId="0" xfId="0" applyFont="1"/>
    <xf numFmtId="0" fontId="26" fillId="0" borderId="0" xfId="0" applyFont="1"/>
    <xf numFmtId="17" fontId="0" fillId="0" borderId="0" xfId="0" applyNumberFormat="1"/>
    <xf numFmtId="43" fontId="0" fillId="0" borderId="0" xfId="43" applyFont="1"/>
    <xf numFmtId="2" fontId="0" fillId="0" borderId="0" xfId="43" applyNumberFormat="1" applyFont="1"/>
    <xf numFmtId="0" fontId="27" fillId="0" borderId="0" xfId="0" applyFont="1"/>
    <xf numFmtId="43" fontId="0" fillId="37" borderId="0" xfId="43" applyFont="1" applyFill="1"/>
    <xf numFmtId="0" fontId="28" fillId="0" borderId="0" xfId="0" applyFont="1"/>
    <xf numFmtId="0" fontId="29" fillId="0" borderId="0" xfId="0" applyFont="1"/>
    <xf numFmtId="0" fontId="13" fillId="38" borderId="10" xfId="0" applyFont="1" applyFill="1" applyBorder="1"/>
    <xf numFmtId="43" fontId="30" fillId="0" borderId="0" xfId="43" applyFont="1"/>
    <xf numFmtId="43" fontId="27" fillId="0" borderId="0" xfId="43" applyFont="1"/>
    <xf numFmtId="0" fontId="31" fillId="29" borderId="0" xfId="39" applyFont="1"/>
    <xf numFmtId="0" fontId="31" fillId="33" borderId="0" xfId="39" applyFont="1" applyFill="1"/>
    <xf numFmtId="0" fontId="31" fillId="25" borderId="0" xfId="35" applyFont="1"/>
    <xf numFmtId="0" fontId="21" fillId="0" borderId="0" xfId="0" applyFont="1"/>
    <xf numFmtId="0" fontId="0" fillId="39" borderId="0" xfId="0" applyFill="1"/>
    <xf numFmtId="0" fontId="18" fillId="0" borderId="10" xfId="0" applyFont="1" applyBorder="1"/>
    <xf numFmtId="0" fontId="25" fillId="0" borderId="10" xfId="0" applyFont="1" applyBorder="1"/>
    <xf numFmtId="0" fontId="34" fillId="13" borderId="0" xfId="2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Inflation trend before and after Covid in Rural Sector</a:t>
            </a:r>
            <a:endParaRPr lang="en-IN"/>
          </a:p>
        </c:rich>
      </c:tx>
      <c:layout>
        <c:manualLayout>
          <c:xMode val="edge"/>
          <c:yMode val="edge"/>
          <c:x val="0.13431333407267754"/>
          <c:y val="2.8771064529387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and After Covid 19 Infla'!$A$15:$B$15</c:f>
              <c:strCache>
                <c:ptCount val="2"/>
                <c:pt idx="0">
                  <c:v>Rural </c:v>
                </c:pt>
                <c:pt idx="1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Infla'!$C$13:$G$14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Infla'!$C$15:$G$15</c:f>
              <c:numCache>
                <c:formatCode>0.0%</c:formatCode>
                <c:ptCount val="5"/>
                <c:pt idx="0">
                  <c:v>-1.5327372688398904E-2</c:v>
                </c:pt>
                <c:pt idx="1">
                  <c:v>0.10309161172993828</c:v>
                </c:pt>
                <c:pt idx="2">
                  <c:v>8.3513875992984682E-2</c:v>
                </c:pt>
                <c:pt idx="3">
                  <c:v>4.9619983540688389E-2</c:v>
                </c:pt>
                <c:pt idx="4">
                  <c:v>5.76405016256386E-2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A-47A6-8DFE-12DD1201BA0C}"/>
            </c:ext>
          </c:extLst>
        </c:ser>
        <c:ser>
          <c:idx val="1"/>
          <c:order val="1"/>
          <c:tx>
            <c:strRef>
              <c:f>'Before and After Covid 19 Infla'!$A$16:$B$16</c:f>
              <c:strCache>
                <c:ptCount val="2"/>
                <c:pt idx="0">
                  <c:v>Rural </c:v>
                </c:pt>
                <c:pt idx="1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Infla'!$C$13:$G$14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Infla'!$C$16:$G$16</c:f>
              <c:numCache>
                <c:formatCode>0.0%</c:formatCode>
                <c:ptCount val="5"/>
                <c:pt idx="0">
                  <c:v>9.9999999999999964E-2</c:v>
                </c:pt>
                <c:pt idx="1">
                  <c:v>3.4759358288770172E-2</c:v>
                </c:pt>
                <c:pt idx="2">
                  <c:v>3.7893384714194005E-2</c:v>
                </c:pt>
                <c:pt idx="3">
                  <c:v>7.0769230769230765E-2</c:v>
                </c:pt>
                <c:pt idx="4">
                  <c:v>5.0372066399542142E-2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A-47A6-8DFE-12DD1201BA0C}"/>
            </c:ext>
          </c:extLst>
        </c:ser>
        <c:ser>
          <c:idx val="2"/>
          <c:order val="2"/>
          <c:tx>
            <c:strRef>
              <c:f>'Before and After Covid 19 Infla'!$A$17:$B$17</c:f>
              <c:strCache>
                <c:ptCount val="2"/>
                <c:pt idx="0">
                  <c:v>Rural </c:v>
                </c:pt>
                <c:pt idx="1">
                  <c:v>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Infla'!$C$13:$G$14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Infla'!$C$17:$G$17</c:f>
              <c:numCache>
                <c:formatCode>0.0%</c:formatCode>
                <c:ptCount val="5"/>
                <c:pt idx="0">
                  <c:v>4.277527629963155E-2</c:v>
                </c:pt>
                <c:pt idx="1">
                  <c:v>2.3682652457075081E-2</c:v>
                </c:pt>
                <c:pt idx="2">
                  <c:v>2.5461183704842429E-2</c:v>
                </c:pt>
                <c:pt idx="3">
                  <c:v>8.4070384507960325E-2</c:v>
                </c:pt>
                <c:pt idx="4">
                  <c:v>7.5452372823489114E-2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A-47A6-8DFE-12DD1201B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2840639"/>
        <c:axId val="1062828639"/>
      </c:barChart>
      <c:catAx>
        <c:axId val="106284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28639"/>
        <c:crosses val="autoZero"/>
        <c:auto val="1"/>
        <c:lblAlgn val="ctr"/>
        <c:lblOffset val="100"/>
        <c:noMultiLvlLbl val="0"/>
      </c:catAx>
      <c:valAx>
        <c:axId val="106282863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4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Inflation trend before and after Covid in Urban Sector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and After Covid 19 Infla'!$A$66:$B$66</c:f>
              <c:strCache>
                <c:ptCount val="2"/>
                <c:pt idx="0">
                  <c:v>Urban</c:v>
                </c:pt>
                <c:pt idx="1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Infla'!$C$64:$G$65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Infla'!$C$66:$G$66</c:f>
              <c:numCache>
                <c:formatCode>0.0%</c:formatCode>
                <c:ptCount val="5"/>
                <c:pt idx="0">
                  <c:v>-9.7237316250087095E-4</c:v>
                </c:pt>
                <c:pt idx="1">
                  <c:v>0.12176804448776005</c:v>
                </c:pt>
                <c:pt idx="2">
                  <c:v>9.2525958671738587E-2</c:v>
                </c:pt>
                <c:pt idx="3">
                  <c:v>5.212207916070586E-2</c:v>
                </c:pt>
                <c:pt idx="4">
                  <c:v>4.9892532126034624E-2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3-4406-8C3C-F95043174D2C}"/>
            </c:ext>
          </c:extLst>
        </c:ser>
        <c:ser>
          <c:idx val="1"/>
          <c:order val="1"/>
          <c:tx>
            <c:strRef>
              <c:f>'Before and After Covid 19 Infla'!$A$67:$B$67</c:f>
              <c:strCache>
                <c:ptCount val="2"/>
                <c:pt idx="0">
                  <c:v>Urban</c:v>
                </c:pt>
                <c:pt idx="1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Infla'!$C$64:$G$65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Infla'!$C$67:$G$67</c:f>
              <c:numCache>
                <c:formatCode>0.0%</c:formatCode>
                <c:ptCount val="5"/>
                <c:pt idx="0">
                  <c:v>4.3447293447293402E-2</c:v>
                </c:pt>
                <c:pt idx="1">
                  <c:v>3.4529451591063125E-2</c:v>
                </c:pt>
                <c:pt idx="2">
                  <c:v>2.9239766081871343E-2</c:v>
                </c:pt>
                <c:pt idx="3">
                  <c:v>3.6144578313253121E-2</c:v>
                </c:pt>
                <c:pt idx="4">
                  <c:v>3.7689969604863149E-2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3-4406-8C3C-F95043174D2C}"/>
            </c:ext>
          </c:extLst>
        </c:ser>
        <c:ser>
          <c:idx val="2"/>
          <c:order val="2"/>
          <c:tx>
            <c:strRef>
              <c:f>'Before and After Covid 19 Infla'!$A$68:$B$68</c:f>
              <c:strCache>
                <c:ptCount val="2"/>
                <c:pt idx="0">
                  <c:v>Urban</c:v>
                </c:pt>
                <c:pt idx="1">
                  <c:v>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Infla'!$C$64:$G$65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Infla'!$C$68:$G$68</c:f>
              <c:numCache>
                <c:formatCode>0.0%</c:formatCode>
                <c:ptCount val="5"/>
                <c:pt idx="0">
                  <c:v>4.1648057168378945E-2</c:v>
                </c:pt>
                <c:pt idx="1">
                  <c:v>3.1938918163243409E-2</c:v>
                </c:pt>
                <c:pt idx="2">
                  <c:v>3.9227895392278903E-2</c:v>
                </c:pt>
                <c:pt idx="3">
                  <c:v>8.5963003264417942E-2</c:v>
                </c:pt>
                <c:pt idx="4">
                  <c:v>7.9102181192868007E-2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3-4406-8C3C-F95043174D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5102543"/>
        <c:axId val="1225103023"/>
      </c:barChart>
      <c:catAx>
        <c:axId val="12251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03023"/>
        <c:crosses val="autoZero"/>
        <c:auto val="1"/>
        <c:lblAlgn val="ctr"/>
        <c:lblOffset val="100"/>
        <c:noMultiLvlLbl val="0"/>
      </c:catAx>
      <c:valAx>
        <c:axId val="122510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Inflation trend before and after Covid in (U+R) Sector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and After Covid 19 Infla'!$A$112:$B$112</c:f>
              <c:strCache>
                <c:ptCount val="2"/>
                <c:pt idx="0">
                  <c:v>Urban + Rural</c:v>
                </c:pt>
                <c:pt idx="1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Infla'!$C$112:$G$112</c:f>
              <c:numCache>
                <c:formatCode>0.0%</c:formatCode>
                <c:ptCount val="5"/>
                <c:pt idx="0">
                  <c:v>-9.607281307938852E-3</c:v>
                </c:pt>
                <c:pt idx="1">
                  <c:v>0.10990076422949714</c:v>
                </c:pt>
                <c:pt idx="2">
                  <c:v>8.6940836940836971E-2</c:v>
                </c:pt>
                <c:pt idx="3">
                  <c:v>5.0276908259089856E-2</c:v>
                </c:pt>
                <c:pt idx="4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D-4A77-9B8A-4AFBBC3840CE}"/>
            </c:ext>
          </c:extLst>
        </c:ser>
        <c:ser>
          <c:idx val="1"/>
          <c:order val="1"/>
          <c:tx>
            <c:strRef>
              <c:f>'Before and After Covid 19 Infla'!$A$113:$B$113</c:f>
              <c:strCache>
                <c:ptCount val="2"/>
                <c:pt idx="0">
                  <c:v>Urban + Rural</c:v>
                </c:pt>
                <c:pt idx="1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Infla'!$C$113:$G$113</c:f>
              <c:numCache>
                <c:formatCode>0.0%</c:formatCode>
                <c:ptCount val="5"/>
                <c:pt idx="0">
                  <c:v>8.7021755438859663E-2</c:v>
                </c:pt>
                <c:pt idx="1">
                  <c:v>3.6526533425224064E-2</c:v>
                </c:pt>
                <c:pt idx="2">
                  <c:v>4.6957671957672115E-2</c:v>
                </c:pt>
                <c:pt idx="3">
                  <c:v>7.0935342121782693E-2</c:v>
                </c:pt>
                <c:pt idx="4">
                  <c:v>5.6592765460910084E-2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D-4A77-9B8A-4AFBBC3840CE}"/>
            </c:ext>
          </c:extLst>
        </c:ser>
        <c:ser>
          <c:idx val="2"/>
          <c:order val="2"/>
          <c:tx>
            <c:strRef>
              <c:f>'Before and After Covid 19 Infla'!$A$114:$B$114</c:f>
              <c:strCache>
                <c:ptCount val="2"/>
                <c:pt idx="0">
                  <c:v>Urban + Rural</c:v>
                </c:pt>
                <c:pt idx="1">
                  <c:v>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Infla'!$C$114:$G$114</c:f>
              <c:numCache>
                <c:formatCode>0.0%</c:formatCode>
                <c:ptCount val="5"/>
                <c:pt idx="0">
                  <c:v>4.1197706519431075E-2</c:v>
                </c:pt>
                <c:pt idx="1">
                  <c:v>2.6739063620530593E-2</c:v>
                </c:pt>
                <c:pt idx="2">
                  <c:v>3.1619767326240382E-2</c:v>
                </c:pt>
                <c:pt idx="3">
                  <c:v>8.5725220053578174E-2</c:v>
                </c:pt>
                <c:pt idx="4">
                  <c:v>7.7313720339725236E-2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D-4A77-9B8A-4AFBBC3840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493727"/>
        <c:axId val="1319489407"/>
      </c:barChart>
      <c:catAx>
        <c:axId val="13194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89407"/>
        <c:crosses val="autoZero"/>
        <c:auto val="1"/>
        <c:lblAlgn val="ctr"/>
        <c:lblOffset val="100"/>
        <c:noMultiLvlLbl val="0"/>
      </c:catAx>
      <c:valAx>
        <c:axId val="13194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Food Inflation M-o-M in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Food inflation Month-on-Month'!$C$20</c:f>
              <c:strCache>
                <c:ptCount val="1"/>
                <c:pt idx="0">
                  <c:v>M-o-M%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Food inflation Month-on-Month'!$B$21:$B$33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 Food inflation Month-on-Month'!$C$21:$C$33</c:f>
              <c:numCache>
                <c:formatCode>0.0%</c:formatCode>
                <c:ptCount val="13"/>
                <c:pt idx="1">
                  <c:v>9.6551104724268005E-3</c:v>
                </c:pt>
                <c:pt idx="2">
                  <c:v>1.8680781034558635E-3</c:v>
                </c:pt>
                <c:pt idx="3">
                  <c:v>1.4650388457268489E-3</c:v>
                </c:pt>
                <c:pt idx="4">
                  <c:v>5.3196205337354627E-3</c:v>
                </c:pt>
                <c:pt idx="5">
                  <c:v>7.3639650762853063E-3</c:v>
                </c:pt>
                <c:pt idx="6">
                  <c:v>1.4007441453271255E-3</c:v>
                </c:pt>
                <c:pt idx="7">
                  <c:v>-4.6334746688813698E-3</c:v>
                </c:pt>
                <c:pt idx="8">
                  <c:v>2.678845900487622E-3</c:v>
                </c:pt>
                <c:pt idx="9">
                  <c:v>-7.6646811492643886E-3</c:v>
                </c:pt>
                <c:pt idx="10">
                  <c:v>4.4136469965292762E-5</c:v>
                </c:pt>
                <c:pt idx="11">
                  <c:v>3.7072998499424643E-3</c:v>
                </c:pt>
                <c:pt idx="12">
                  <c:v>7.2552985665292899E-3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5-45DC-B13D-3C0A92AC26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1027632"/>
        <c:axId val="1901022352"/>
      </c:barChart>
      <c:catAx>
        <c:axId val="19010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22352"/>
        <c:crosses val="autoZero"/>
        <c:auto val="1"/>
        <c:lblAlgn val="ctr"/>
        <c:lblOffset val="100"/>
        <c:noMultiLvlLbl val="0"/>
      </c:catAx>
      <c:valAx>
        <c:axId val="19010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Food inflation Month-on-Month'!$C$63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Food inflation Month-on-Month'!$B$64:$B$75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 Food inflation Month-on-Month'!$C$64:$C$75</c:f>
              <c:numCache>
                <c:formatCode>0.0%</c:formatCode>
                <c:ptCount val="12"/>
                <c:pt idx="0">
                  <c:v>1.1183803377243269E-2</c:v>
                </c:pt>
                <c:pt idx="1">
                  <c:v>1.7923497267759165E-3</c:v>
                </c:pt>
                <c:pt idx="2">
                  <c:v>9.1639029499036005E-4</c:v>
                </c:pt>
                <c:pt idx="3">
                  <c:v>5.5369054366308902E-3</c:v>
                </c:pt>
                <c:pt idx="4">
                  <c:v>6.8938605619147117E-3</c:v>
                </c:pt>
                <c:pt idx="5">
                  <c:v>-3.4017999397149765E-3</c:v>
                </c:pt>
                <c:pt idx="6">
                  <c:v>-8.0366401659178899E-3</c:v>
                </c:pt>
                <c:pt idx="7">
                  <c:v>6.2723233731163631E-3</c:v>
                </c:pt>
                <c:pt idx="8">
                  <c:v>-3.0300406891180217E-3</c:v>
                </c:pt>
                <c:pt idx="9">
                  <c:v>8.6835706842772171E-5</c:v>
                </c:pt>
                <c:pt idx="10">
                  <c:v>6.2082139446037084E-3</c:v>
                </c:pt>
                <c:pt idx="11">
                  <c:v>7.5074427233894096E-3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1EC-8140-9012AE08F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2371216"/>
        <c:axId val="2092372176"/>
      </c:barChart>
      <c:catAx>
        <c:axId val="20923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72176"/>
        <c:crosses val="autoZero"/>
        <c:auto val="1"/>
        <c:lblAlgn val="ctr"/>
        <c:lblOffset val="100"/>
        <c:noMultiLvlLbl val="0"/>
      </c:catAx>
      <c:valAx>
        <c:axId val="20923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7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Food Inflation M-o-M in Rural+Urban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Food inflation Month-on-Month'!$C$105:$C$106</c:f>
              <c:strCache>
                <c:ptCount val="2"/>
                <c:pt idx="0">
                  <c:v>M-o-M%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Food inflation Month-on-Month'!$B$107:$B$118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 Food inflation Month-on-Month'!$C$107:$C$118</c:f>
              <c:numCache>
                <c:formatCode>0.0%</c:formatCode>
                <c:ptCount val="12"/>
                <c:pt idx="0">
                  <c:v>1.0272901871454526E-2</c:v>
                </c:pt>
                <c:pt idx="1">
                  <c:v>1.9452672531942573E-3</c:v>
                </c:pt>
                <c:pt idx="2">
                  <c:v>1.279618761858576E-3</c:v>
                </c:pt>
                <c:pt idx="3">
                  <c:v>5.1560021152828386E-3</c:v>
                </c:pt>
                <c:pt idx="4">
                  <c:v>7.1901442413082953E-3</c:v>
                </c:pt>
                <c:pt idx="5">
                  <c:v>-2.1764680276846731E-4</c:v>
                </c:pt>
                <c:pt idx="6">
                  <c:v>-5.8342041100662182E-3</c:v>
                </c:pt>
                <c:pt idx="7">
                  <c:v>4.0728737847068961E-3</c:v>
                </c:pt>
                <c:pt idx="8">
                  <c:v>-5.9318707201116193E-3</c:v>
                </c:pt>
                <c:pt idx="9">
                  <c:v>4.3876968978943027E-5</c:v>
                </c:pt>
                <c:pt idx="10">
                  <c:v>4.5630045630048032E-3</c:v>
                </c:pt>
                <c:pt idx="11">
                  <c:v>7.5559049615652185E-3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5-44C9-A93F-F777E154E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1648656"/>
        <c:axId val="2091645296"/>
      </c:barChart>
      <c:catAx>
        <c:axId val="20916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45296"/>
        <c:crosses val="autoZero"/>
        <c:auto val="1"/>
        <c:lblAlgn val="ctr"/>
        <c:lblOffset val="100"/>
        <c:noMultiLvlLbl val="0"/>
      </c:catAx>
      <c:valAx>
        <c:axId val="20916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4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#Contribution</a:t>
            </a:r>
            <a:r>
              <a:rPr lang="en-US" baseline="0"/>
              <a:t> by Rural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'Contribution Ratio of Category'!$P$6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92-41E7-B645-FE9E04BD8D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92-41E7-B645-FE9E04BD8D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92-41E7-B645-FE9E04BD8D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92-41E7-B645-FE9E04BD8D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92-41E7-B645-FE9E04BD8D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692-41E7-B645-FE9E04BD8D6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692-41E7-B645-FE9E04BD8D6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692-41E7-B645-FE9E04BD8D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Ratio of Category'!$O$7:$O$14</c:f>
              <c:strCache>
                <c:ptCount val="8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Heath</c:v>
                </c:pt>
                <c:pt idx="6">
                  <c:v>Transport</c:v>
                </c:pt>
                <c:pt idx="7">
                  <c:v>Education</c:v>
                </c:pt>
              </c:strCache>
            </c:strRef>
          </c:cat>
          <c:val>
            <c:numRef>
              <c:f>'Contribution Ratio of Category'!$P$7:$P$14</c:f>
              <c:numCache>
                <c:formatCode>0%</c:formatCode>
                <c:ptCount val="8"/>
                <c:pt idx="0">
                  <c:v>0.50918022583800104</c:v>
                </c:pt>
                <c:pt idx="1">
                  <c:v>0.12543344891971187</c:v>
                </c:pt>
                <c:pt idx="2">
                  <c:v>0.1266782253045256</c:v>
                </c:pt>
                <c:pt idx="3">
                  <c:v>3.9966213212412185E-2</c:v>
                </c:pt>
                <c:pt idx="4">
                  <c:v>4.056637325509023E-2</c:v>
                </c:pt>
                <c:pt idx="5">
                  <c:v>4.1744465190717506E-2</c:v>
                </c:pt>
                <c:pt idx="6">
                  <c:v>3.7721170089801706E-2</c:v>
                </c:pt>
                <c:pt idx="7">
                  <c:v>7.8709878189739457E-2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6-426C-86FE-9366F0D73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#Contribution by 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'Contribution Ratio of Category'!$P$20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E5-495E-82DB-216F2B8788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E5-495E-82DB-216F2B8788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E5-495E-82DB-216F2B8788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E5-495E-82DB-216F2B8788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E5-495E-82DB-216F2B8788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E5-495E-82DB-216F2B87883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2E5-495E-82DB-216F2B87883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2E5-495E-82DB-216F2B8788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Ratio of Category'!$O$21:$O$28</c:f>
              <c:strCache>
                <c:ptCount val="8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Heath</c:v>
                </c:pt>
                <c:pt idx="6">
                  <c:v>Transport</c:v>
                </c:pt>
                <c:pt idx="7">
                  <c:v>Education</c:v>
                </c:pt>
              </c:strCache>
            </c:strRef>
          </c:cat>
          <c:val>
            <c:numRef>
              <c:f>'Contribution Ratio of Category'!$P$21:$P$28</c:f>
              <c:numCache>
                <c:formatCode>0%</c:formatCode>
                <c:ptCount val="8"/>
                <c:pt idx="0">
                  <c:v>0.503156715292292</c:v>
                </c:pt>
                <c:pt idx="1">
                  <c:v>0.12096791570600531</c:v>
                </c:pt>
                <c:pt idx="2">
                  <c:v>0.1139218686030727</c:v>
                </c:pt>
                <c:pt idx="3">
                  <c:v>7.4489861880238747E-2</c:v>
                </c:pt>
                <c:pt idx="4">
                  <c:v>3.9518196901463083E-2</c:v>
                </c:pt>
                <c:pt idx="5">
                  <c:v>3.9259626365575645E-2</c:v>
                </c:pt>
                <c:pt idx="6">
                  <c:v>3.4562261630287236E-2</c:v>
                </c:pt>
                <c:pt idx="7">
                  <c:v>7.4123553621064889E-2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E-4D81-9C76-578E3A58D4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#Contribution by Urban &amp;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'Contribution Ratio of Category'!$P$32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4D-44E6-884C-7B30E68F6B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4D-44E6-884C-7B30E68F6B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4D-44E6-884C-7B30E68F6B3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4D-44E6-884C-7B30E68F6B3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84D-44E6-884C-7B30E68F6B3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84D-44E6-884C-7B30E68F6B3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84D-44E6-884C-7B30E68F6B3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84D-44E6-884C-7B30E68F6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Ratio of Category'!$O$33:$O$40</c:f>
              <c:strCache>
                <c:ptCount val="8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Heath</c:v>
                </c:pt>
                <c:pt idx="6">
                  <c:v>Transport</c:v>
                </c:pt>
                <c:pt idx="7">
                  <c:v>Education</c:v>
                </c:pt>
              </c:strCache>
            </c:strRef>
          </c:cat>
          <c:val>
            <c:numRef>
              <c:f>'Contribution Ratio of Category'!$P$33:$P$40</c:f>
              <c:numCache>
                <c:formatCode>0%</c:formatCode>
                <c:ptCount val="8"/>
                <c:pt idx="0">
                  <c:v>0.49563853557923682</c:v>
                </c:pt>
                <c:pt idx="1">
                  <c:v>0.12072447576486764</c:v>
                </c:pt>
                <c:pt idx="2">
                  <c:v>0.11885527672739772</c:v>
                </c:pt>
                <c:pt idx="3">
                  <c:v>7.5369542798212424E-2</c:v>
                </c:pt>
                <c:pt idx="4">
                  <c:v>3.9274664833276039E-2</c:v>
                </c:pt>
                <c:pt idx="5">
                  <c:v>3.9897731179099338E-2</c:v>
                </c:pt>
                <c:pt idx="6">
                  <c:v>3.5407356479889997E-2</c:v>
                </c:pt>
                <c:pt idx="7">
                  <c:v>7.4832416638019914E-2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E-4518-AB54-B7432F4F4B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Trend of Y-o-Y increase in CPI (rural + urban) </a:t>
            </a:r>
            <a:endParaRPr lang="en-IN"/>
          </a:p>
        </c:rich>
      </c:tx>
      <c:layout>
        <c:manualLayout>
          <c:xMode val="edge"/>
          <c:yMode val="edge"/>
          <c:x val="0.1459610040032043"/>
          <c:y val="5.1657915882276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of YOY Increse in CPI'!$F$4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</c:f>
              <c:numCache>
                <c:formatCode>0.0%</c:formatCode>
                <c:ptCount val="1"/>
                <c:pt idx="0">
                  <c:v>5.2954719877206298E-2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C-4FCE-AB0C-E09905BF3EB0}"/>
            </c:ext>
          </c:extLst>
        </c:ser>
        <c:ser>
          <c:idx val="1"/>
          <c:order val="1"/>
          <c:tx>
            <c:strRef>
              <c:f>'Trend of YOY Increse in CPI'!$F$5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CPI'!$G$5</c:f>
              <c:numCache>
                <c:formatCode>0.0%</c:formatCode>
                <c:ptCount val="1"/>
                <c:pt idx="0">
                  <c:v>2.3374726077428697E-2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C-4FCE-AB0C-E09905BF3EB0}"/>
            </c:ext>
          </c:extLst>
        </c:ser>
        <c:ser>
          <c:idx val="2"/>
          <c:order val="2"/>
          <c:tx>
            <c:strRef>
              <c:f>'Trend of YOY Increse in CPI'!$F$6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CPI'!$G$6</c:f>
              <c:numCache>
                <c:formatCode>0.0%</c:formatCode>
                <c:ptCount val="1"/>
                <c:pt idx="0">
                  <c:v>7.7363896848137617E-2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C-4FCE-AB0C-E09905BF3EB0}"/>
            </c:ext>
          </c:extLst>
        </c:ser>
        <c:ser>
          <c:idx val="3"/>
          <c:order val="3"/>
          <c:tx>
            <c:strRef>
              <c:f>'Trend of YOY Increse in CPI'!$F$7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CPI'!$G$7</c:f>
              <c:numCache>
                <c:formatCode>0.0%</c:formatCode>
                <c:ptCount val="1"/>
                <c:pt idx="0">
                  <c:v>5.7922769640479481E-2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C-4FCE-AB0C-E09905BF3EB0}"/>
            </c:ext>
          </c:extLst>
        </c:ser>
        <c:ser>
          <c:idx val="4"/>
          <c:order val="4"/>
          <c:tx>
            <c:strRef>
              <c:f>'Trend of YOY Increse in CPI'!$F$8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CPI'!$G$8</c:f>
              <c:numCache>
                <c:formatCode>0.0%</c:formatCode>
                <c:ptCount val="1"/>
                <c:pt idx="0">
                  <c:v>5.657978385251098E-2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AC-4FCE-AB0C-E09905BF3EB0}"/>
            </c:ext>
          </c:extLst>
        </c:ser>
        <c:ser>
          <c:idx val="5"/>
          <c:order val="5"/>
          <c:tx>
            <c:strRef>
              <c:f>'Trend of YOY Increse in CPI'!$F$9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CPI'!$G$9</c:f>
              <c:numCache>
                <c:formatCode>0.0%</c:formatCode>
                <c:ptCount val="1"/>
                <c:pt idx="0">
                  <c:v>6.0350030175015092E-2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AC-4FCE-AB0C-E09905BF3EB0}"/>
            </c:ext>
          </c:extLst>
        </c:ser>
        <c:ser>
          <c:idx val="6"/>
          <c:order val="6"/>
          <c:tx>
            <c:strRef>
              <c:f>'Trend of YOY Increse in CPI'!$F$10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CPI'!$G$10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57AC-4FCE-AB0C-E09905BF3E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5448863"/>
        <c:axId val="1575443583"/>
      </c:barChart>
      <c:catAx>
        <c:axId val="157544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3583"/>
        <c:crosses val="autoZero"/>
        <c:auto val="1"/>
        <c:lblAlgn val="ctr"/>
        <c:lblOffset val="100"/>
        <c:noMultiLvlLbl val="0"/>
      </c:catAx>
      <c:valAx>
        <c:axId val="157544358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57544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Trend of Y-o-Y increase in CPI (Rural) 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4939566929133857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of YOY Increse in CPI'!$F$20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CPI'!$G$20</c:f>
              <c:numCache>
                <c:formatCode>0.0%</c:formatCode>
                <c:ptCount val="1"/>
                <c:pt idx="0">
                  <c:v>5.5891238670694898E-2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1-473F-B479-D57ED4CB0D2C}"/>
            </c:ext>
          </c:extLst>
        </c:ser>
        <c:ser>
          <c:idx val="1"/>
          <c:order val="1"/>
          <c:tx>
            <c:strRef>
              <c:f>'Trend of YOY Increse in CPI'!$F$21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CPI'!$G$21</c:f>
              <c:numCache>
                <c:formatCode>0.0%</c:formatCode>
                <c:ptCount val="1"/>
                <c:pt idx="0">
                  <c:v>1.8664752333094E-2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1-473F-B479-D57ED4CB0D2C}"/>
            </c:ext>
          </c:extLst>
        </c:ser>
        <c:ser>
          <c:idx val="2"/>
          <c:order val="2"/>
          <c:tx>
            <c:strRef>
              <c:f>'Trend of YOY Increse in CPI'!$F$22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CPI'!$G$22</c:f>
              <c:numCache>
                <c:formatCode>0.0%</c:formatCode>
                <c:ptCount val="1"/>
                <c:pt idx="0">
                  <c:v>8.014184397163128E-2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1-473F-B479-D57ED4CB0D2C}"/>
            </c:ext>
          </c:extLst>
        </c:ser>
        <c:ser>
          <c:idx val="3"/>
          <c:order val="3"/>
          <c:tx>
            <c:strRef>
              <c:f>'Trend of YOY Increse in CPI'!$F$23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CPI'!$G$23</c:f>
              <c:numCache>
                <c:formatCode>0.0%</c:formatCode>
                <c:ptCount val="1"/>
                <c:pt idx="0">
                  <c:v>5.7932850559578558E-2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1-473F-B479-D57ED4CB0D2C}"/>
            </c:ext>
          </c:extLst>
        </c:ser>
        <c:ser>
          <c:idx val="4"/>
          <c:order val="4"/>
          <c:tx>
            <c:strRef>
              <c:f>'Trend of YOY Increse in CPI'!$F$24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CPI'!$G$24</c:f>
              <c:numCache>
                <c:formatCode>0.0%</c:formatCode>
                <c:ptCount val="1"/>
                <c:pt idx="0">
                  <c:v>5.362776025236593E-2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1-473F-B479-D57ED4CB0D2C}"/>
            </c:ext>
          </c:extLst>
        </c:ser>
        <c:ser>
          <c:idx val="5"/>
          <c:order val="5"/>
          <c:tx>
            <c:strRef>
              <c:f>'Trend of YOY Increse in CPI'!$F$25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CPI'!$G$25</c:f>
              <c:numCache>
                <c:formatCode>0.0%</c:formatCode>
                <c:ptCount val="1"/>
                <c:pt idx="0">
                  <c:v>6.430288461538454E-2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1-473F-B479-D57ED4CB0D2C}"/>
            </c:ext>
          </c:extLst>
        </c:ser>
        <c:ser>
          <c:idx val="6"/>
          <c:order val="6"/>
          <c:tx>
            <c:strRef>
              <c:f>'Trend of YOY Increse in CPI'!$F$26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CPI'!$G$19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CPI'!$G$26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1C01-473F-B479-D57ED4CB0D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1610208"/>
        <c:axId val="1421603008"/>
      </c:barChart>
      <c:catAx>
        <c:axId val="142161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03008"/>
        <c:crosses val="autoZero"/>
        <c:auto val="1"/>
        <c:lblAlgn val="ctr"/>
        <c:lblOffset val="100"/>
        <c:noMultiLvlLbl val="0"/>
      </c:catAx>
      <c:valAx>
        <c:axId val="1421603008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42161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Trend of Y-o-Y increase in CPI (Urban) 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of YOY Increse in CPI'!$F$38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CPI'!$G$38</c:f>
              <c:numCache>
                <c:formatCode>0.0%</c:formatCode>
                <c:ptCount val="1"/>
                <c:pt idx="0">
                  <c:v>4.92957746478873E-2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C-488E-B3EF-A3929CC162AF}"/>
            </c:ext>
          </c:extLst>
        </c:ser>
        <c:ser>
          <c:idx val="1"/>
          <c:order val="1"/>
          <c:tx>
            <c:strRef>
              <c:f>'Trend of YOY Increse in CPI'!$F$39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CPI'!$G$39</c:f>
              <c:numCache>
                <c:formatCode>0.0%</c:formatCode>
                <c:ptCount val="1"/>
                <c:pt idx="0">
                  <c:v>2.9082774049217046E-2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C-488E-B3EF-A3929CC162AF}"/>
            </c:ext>
          </c:extLst>
        </c:ser>
        <c:ser>
          <c:idx val="2"/>
          <c:order val="2"/>
          <c:tx>
            <c:strRef>
              <c:f>'Trend of YOY Increse in CPI'!$F$40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CPI'!$G$40</c:f>
              <c:numCache>
                <c:formatCode>0.0%</c:formatCode>
                <c:ptCount val="1"/>
                <c:pt idx="0">
                  <c:v>7.4637681159420377E-2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C-488E-B3EF-A3929CC162AF}"/>
            </c:ext>
          </c:extLst>
        </c:ser>
        <c:ser>
          <c:idx val="3"/>
          <c:order val="3"/>
          <c:tx>
            <c:strRef>
              <c:f>'Trend of YOY Increse in CPI'!$F$41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CPI'!$G$41</c:f>
              <c:numCache>
                <c:formatCode>0.0%</c:formatCode>
                <c:ptCount val="1"/>
                <c:pt idx="0">
                  <c:v>5.8704453441295663E-2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4C-488E-B3EF-A3929CC162AF}"/>
            </c:ext>
          </c:extLst>
        </c:ser>
        <c:ser>
          <c:idx val="4"/>
          <c:order val="4"/>
          <c:tx>
            <c:strRef>
              <c:f>'Trend of YOY Increse in CPI'!$F$42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CPI'!$G$42</c:f>
              <c:numCache>
                <c:formatCode>0.0%</c:formatCode>
                <c:ptCount val="1"/>
                <c:pt idx="0">
                  <c:v>5.8974358974358904E-2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C-488E-B3EF-A3929CC162AF}"/>
            </c:ext>
          </c:extLst>
        </c:ser>
        <c:ser>
          <c:idx val="5"/>
          <c:order val="5"/>
          <c:tx>
            <c:strRef>
              <c:f>'Trend of YOY Increse in CPI'!$F$43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CPI'!$G$43</c:f>
              <c:numCache>
                <c:formatCode>0.0%</c:formatCode>
                <c:ptCount val="1"/>
                <c:pt idx="0">
                  <c:v>5.5151515151515118E-2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4C-488E-B3EF-A3929CC162AF}"/>
            </c:ext>
          </c:extLst>
        </c:ser>
        <c:ser>
          <c:idx val="6"/>
          <c:order val="6"/>
          <c:tx>
            <c:strRef>
              <c:f>'Trend of YOY Increse in CPI'!$F$44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CPI'!$G$37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804C-488E-B3EF-A3929CC162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8654512"/>
        <c:axId val="1508648272"/>
      </c:barChart>
      <c:catAx>
        <c:axId val="150865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48272"/>
        <c:crosses val="autoZero"/>
        <c:auto val="1"/>
        <c:lblAlgn val="ctr"/>
        <c:lblOffset val="100"/>
        <c:noMultiLvlLbl val="0"/>
      </c:catAx>
      <c:valAx>
        <c:axId val="1508648272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50865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Trend of Y-o-Y increase in CPI (rural + urban) </a:t>
            </a:r>
            <a:endParaRPr lang="en-IN"/>
          </a:p>
        </c:rich>
      </c:tx>
      <c:layout>
        <c:manualLayout>
          <c:xMode val="edge"/>
          <c:yMode val="edge"/>
          <c:x val="0.1459610040032043"/>
          <c:y val="5.1657915882276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 of YOY Increse in CPI'!$F$4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CPI'!$G$4</c:f>
              <c:numCache>
                <c:formatCode>0.0%</c:formatCode>
                <c:ptCount val="1"/>
                <c:pt idx="0">
                  <c:v>5.2954719877206298E-2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5-45C9-91AC-5F88A304218A}"/>
            </c:ext>
          </c:extLst>
        </c:ser>
        <c:ser>
          <c:idx val="1"/>
          <c:order val="1"/>
          <c:tx>
            <c:strRef>
              <c:f>'Trend of YOY Increse in CPI'!$F$5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CPI'!$G$5</c:f>
              <c:numCache>
                <c:formatCode>0.0%</c:formatCode>
                <c:ptCount val="1"/>
                <c:pt idx="0">
                  <c:v>2.3374726077428697E-2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5-45C9-91AC-5F88A304218A}"/>
            </c:ext>
          </c:extLst>
        </c:ser>
        <c:ser>
          <c:idx val="2"/>
          <c:order val="2"/>
          <c:tx>
            <c:strRef>
              <c:f>'Trend of YOY Increse in CPI'!$F$6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CPI'!$G$6</c:f>
              <c:numCache>
                <c:formatCode>0.0%</c:formatCode>
                <c:ptCount val="1"/>
                <c:pt idx="0">
                  <c:v>7.7363896848137617E-2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5-45C9-91AC-5F88A304218A}"/>
            </c:ext>
          </c:extLst>
        </c:ser>
        <c:ser>
          <c:idx val="3"/>
          <c:order val="3"/>
          <c:tx>
            <c:strRef>
              <c:f>'Trend of YOY Increse in CPI'!$F$7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CPI'!$G$7</c:f>
              <c:numCache>
                <c:formatCode>0.0%</c:formatCode>
                <c:ptCount val="1"/>
                <c:pt idx="0">
                  <c:v>5.7922769640479481E-2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5-45C9-91AC-5F88A304218A}"/>
            </c:ext>
          </c:extLst>
        </c:ser>
        <c:ser>
          <c:idx val="4"/>
          <c:order val="4"/>
          <c:tx>
            <c:strRef>
              <c:f>'Trend of YOY Increse in CPI'!$F$8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CPI'!$G$8</c:f>
              <c:numCache>
                <c:formatCode>0.0%</c:formatCode>
                <c:ptCount val="1"/>
                <c:pt idx="0">
                  <c:v>5.657978385251098E-2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5-45C9-91AC-5F88A304218A}"/>
            </c:ext>
          </c:extLst>
        </c:ser>
        <c:ser>
          <c:idx val="5"/>
          <c:order val="5"/>
          <c:tx>
            <c:strRef>
              <c:f>'Trend of YOY Increse in CPI'!$F$9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CPI'!$G$9</c:f>
              <c:numCache>
                <c:formatCode>0.0%</c:formatCode>
                <c:ptCount val="1"/>
                <c:pt idx="0">
                  <c:v>6.0350030175015092E-2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5-45C9-91AC-5F88A304218A}"/>
            </c:ext>
          </c:extLst>
        </c:ser>
        <c:ser>
          <c:idx val="6"/>
          <c:order val="6"/>
          <c:tx>
            <c:strRef>
              <c:f>'Trend of YOY Increse in CPI'!$F$10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 of YOY Increse in CPI'!$G$3</c:f>
              <c:strCache>
                <c:ptCount val="1"/>
                <c:pt idx="0">
                  <c:v>YoY % Change</c:v>
                </c:pt>
              </c:strCache>
            </c:strRef>
          </c:cat>
          <c:val>
            <c:numRef>
              <c:f>'Trend of YOY Increse in CPI'!$G$10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25A5-45C9-91AC-5F88A3042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5448863"/>
        <c:axId val="1575443583"/>
      </c:barChart>
      <c:catAx>
        <c:axId val="157544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3583"/>
        <c:crosses val="autoZero"/>
        <c:auto val="1"/>
        <c:lblAlgn val="ctr"/>
        <c:lblOffset val="100"/>
        <c:noMultiLvlLbl val="0"/>
      </c:catAx>
      <c:valAx>
        <c:axId val="157544358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57544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#Contribution by Urban &amp;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'Contribution Ratio of Category'!$P$32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B4-4CF2-BDBE-F62CD55BE3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4-4CF2-BDBE-F62CD55BE3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4-4CF2-BDBE-F62CD55BE3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B4-4CF2-BDBE-F62CD55BE3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B4-4CF2-BDBE-F62CD55BE3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B4-4CF2-BDBE-F62CD55BE3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EB4-4CF2-BDBE-F62CD55BE3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EB4-4CF2-BDBE-F62CD55BE3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Ratio of Category'!$O$33:$O$40</c:f>
              <c:strCache>
                <c:ptCount val="8"/>
                <c:pt idx="0">
                  <c:v>Food</c:v>
                </c:pt>
                <c:pt idx="1">
                  <c:v>Misc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Heath</c:v>
                </c:pt>
                <c:pt idx="6">
                  <c:v>Transport</c:v>
                </c:pt>
                <c:pt idx="7">
                  <c:v>Education</c:v>
                </c:pt>
              </c:strCache>
            </c:strRef>
          </c:cat>
          <c:val>
            <c:numRef>
              <c:f>'Contribution Ratio of Category'!$P$33:$P$40</c:f>
              <c:numCache>
                <c:formatCode>0%</c:formatCode>
                <c:ptCount val="8"/>
                <c:pt idx="0">
                  <c:v>0.49563853557923682</c:v>
                </c:pt>
                <c:pt idx="1">
                  <c:v>0.12072447576486764</c:v>
                </c:pt>
                <c:pt idx="2">
                  <c:v>0.11885527672739772</c:v>
                </c:pt>
                <c:pt idx="3">
                  <c:v>7.5369542798212424E-2</c:v>
                </c:pt>
                <c:pt idx="4">
                  <c:v>3.9274664833276039E-2</c:v>
                </c:pt>
                <c:pt idx="5">
                  <c:v>3.9897731179099338E-2</c:v>
                </c:pt>
                <c:pt idx="6">
                  <c:v>3.5407356479889997E-2</c:v>
                </c:pt>
                <c:pt idx="7">
                  <c:v>7.4832416638019914E-2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EB4-4CF2-BDBE-F62CD55BE3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Food Inflation M-o-M in Rural+Urban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Food inflation Month-on-Month'!$C$105:$C$106</c:f>
              <c:strCache>
                <c:ptCount val="2"/>
                <c:pt idx="0">
                  <c:v>M-o-M%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Food inflation Month-on-Month'!$B$107:$B$118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 Food inflation Month-on-Month'!$C$107:$C$118</c:f>
              <c:numCache>
                <c:formatCode>0.0%</c:formatCode>
                <c:ptCount val="12"/>
                <c:pt idx="0">
                  <c:v>1.0272901871454526E-2</c:v>
                </c:pt>
                <c:pt idx="1">
                  <c:v>1.9452672531942573E-3</c:v>
                </c:pt>
                <c:pt idx="2">
                  <c:v>1.279618761858576E-3</c:v>
                </c:pt>
                <c:pt idx="3">
                  <c:v>5.1560021152828386E-3</c:v>
                </c:pt>
                <c:pt idx="4">
                  <c:v>7.1901442413082953E-3</c:v>
                </c:pt>
                <c:pt idx="5">
                  <c:v>-2.1764680276846731E-4</c:v>
                </c:pt>
                <c:pt idx="6">
                  <c:v>-5.8342041100662182E-3</c:v>
                </c:pt>
                <c:pt idx="7">
                  <c:v>4.0728737847068961E-3</c:v>
                </c:pt>
                <c:pt idx="8">
                  <c:v>-5.9318707201116193E-3</c:v>
                </c:pt>
                <c:pt idx="9">
                  <c:v>4.3876968978943027E-5</c:v>
                </c:pt>
                <c:pt idx="10">
                  <c:v>4.5630045630048032E-3</c:v>
                </c:pt>
                <c:pt idx="11">
                  <c:v>7.5559049615652185E-3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3-4F1C-981B-13C67D69DC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1648656"/>
        <c:axId val="2091645296"/>
      </c:barChart>
      <c:catAx>
        <c:axId val="20916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45296"/>
        <c:crosses val="autoZero"/>
        <c:auto val="1"/>
        <c:lblAlgn val="ctr"/>
        <c:lblOffset val="100"/>
        <c:noMultiLvlLbl val="0"/>
      </c:catAx>
      <c:valAx>
        <c:axId val="20916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4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Inflation trend before and after Covid in (U+R) Sector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and After Covid 19 Infla'!$A$112:$B$112</c:f>
              <c:strCache>
                <c:ptCount val="2"/>
                <c:pt idx="0">
                  <c:v>Urban + Rural</c:v>
                </c:pt>
                <c:pt idx="1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Infla'!$C$112:$G$112</c:f>
              <c:numCache>
                <c:formatCode>0.0%</c:formatCode>
                <c:ptCount val="5"/>
                <c:pt idx="0">
                  <c:v>-9.607281307938852E-3</c:v>
                </c:pt>
                <c:pt idx="1">
                  <c:v>0.10990076422949714</c:v>
                </c:pt>
                <c:pt idx="2">
                  <c:v>8.6940836940836971E-2</c:v>
                </c:pt>
                <c:pt idx="3">
                  <c:v>5.0276908259089856E-2</c:v>
                </c:pt>
                <c:pt idx="4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3-4466-8F44-DF48AB236AC2}"/>
            </c:ext>
          </c:extLst>
        </c:ser>
        <c:ser>
          <c:idx val="1"/>
          <c:order val="1"/>
          <c:tx>
            <c:strRef>
              <c:f>'Before and After Covid 19 Infla'!$A$113:$B$113</c:f>
              <c:strCache>
                <c:ptCount val="2"/>
                <c:pt idx="0">
                  <c:v>Urban + Rural</c:v>
                </c:pt>
                <c:pt idx="1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Infla'!$C$113:$G$113</c:f>
              <c:numCache>
                <c:formatCode>0.0%</c:formatCode>
                <c:ptCount val="5"/>
                <c:pt idx="0">
                  <c:v>8.7021755438859663E-2</c:v>
                </c:pt>
                <c:pt idx="1">
                  <c:v>3.6526533425224064E-2</c:v>
                </c:pt>
                <c:pt idx="2">
                  <c:v>4.6957671957672115E-2</c:v>
                </c:pt>
                <c:pt idx="3">
                  <c:v>7.0935342121782693E-2</c:v>
                </c:pt>
                <c:pt idx="4">
                  <c:v>5.6592765460910084E-2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3-4466-8F44-DF48AB236AC2}"/>
            </c:ext>
          </c:extLst>
        </c:ser>
        <c:ser>
          <c:idx val="2"/>
          <c:order val="2"/>
          <c:tx>
            <c:strRef>
              <c:f>'Before and After Covid 19 Infla'!$A$114:$B$114</c:f>
              <c:strCache>
                <c:ptCount val="2"/>
                <c:pt idx="0">
                  <c:v>Urban + Rural</c:v>
                </c:pt>
                <c:pt idx="1">
                  <c:v>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'Before and After Covid 19 Infla'!$C$110:$G$111</c:f>
              <c:multiLvlStrCache>
                <c:ptCount val="5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</c:lvl>
                <c:lvl>
                  <c:pt idx="0">
                    <c:v>Before</c:v>
                  </c:pt>
                  <c:pt idx="1">
                    <c:v>Before</c:v>
                  </c:pt>
                  <c:pt idx="2">
                    <c:v>Covid</c:v>
                  </c:pt>
                  <c:pt idx="3">
                    <c:v>After</c:v>
                  </c:pt>
                  <c:pt idx="4">
                    <c:v>After</c:v>
                  </c:pt>
                </c:lvl>
              </c:multiLvlStrCache>
            </c:multiLvlStrRef>
          </c:cat>
          <c:val>
            <c:numRef>
              <c:f>'Before and After Covid 19 Infla'!$C$114:$G$114</c:f>
              <c:numCache>
                <c:formatCode>0.0%</c:formatCode>
                <c:ptCount val="5"/>
                <c:pt idx="0">
                  <c:v>4.1197706519431075E-2</c:v>
                </c:pt>
                <c:pt idx="1">
                  <c:v>2.6739063620530593E-2</c:v>
                </c:pt>
                <c:pt idx="2">
                  <c:v>3.1619767326240382E-2</c:v>
                </c:pt>
                <c:pt idx="3">
                  <c:v>8.5725220053578174E-2</c:v>
                </c:pt>
                <c:pt idx="4">
                  <c:v>7.7313720339725236E-2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3-4466-8F44-DF48AB236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493727"/>
        <c:axId val="1319489407"/>
      </c:barChart>
      <c:catAx>
        <c:axId val="13194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89407"/>
        <c:crosses val="autoZero"/>
        <c:auto val="1"/>
        <c:lblAlgn val="ctr"/>
        <c:lblOffset val="100"/>
        <c:noMultiLvlLbl val="0"/>
      </c:catAx>
      <c:valAx>
        <c:axId val="13194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Food Inflation M-o-M in Rural Sector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Food Inflation M-o-M in Rural Sector</a:t>
          </a:r>
        </a:p>
      </cx:txPr>
    </cx:title>
    <cx:plotArea>
      <cx:plotAreaRegion>
        <cx:series layoutId="sunburst" uniqueId="{3F7BD226-1750-4F9F-90AC-3108104BF108}">
          <cx:tx>
            <cx:txData>
              <cx:f>_xlchart.v1.7</cx:f>
              <cx:v>M-o-M%</cx:v>
            </cx:txData>
          </cx:tx>
          <cx:dataLabels>
            <cx:visibility seriesName="0" categoryName="1" value="1"/>
            <cx:separator>, </cx:separator>
          </cx:dataLabels>
          <cx:dataId val="0"/>
        </cx:series>
      </cx:plotAreaRegion>
    </cx:plotArea>
    <cx:legend pos="l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n-US" sz="1400" b="0" i="0" baseline="0">
                <a:effectLst/>
              </a:rPr>
              <a:t>Food Inflation M-o-M in Urban Sector</a:t>
            </a:r>
            <a:endParaRPr lang="en-IN" sz="1400">
              <a:effectLst/>
            </a:endParaRPr>
          </a:p>
        </cx:rich>
      </cx:tx>
    </cx:title>
    <cx:plotArea>
      <cx:plotAreaRegion>
        <cx:series layoutId="sunburst" uniqueId="{0E191D02-CDB7-4D8A-8E1F-B161EFB632D0}">
          <cx:tx>
            <cx:txData>
              <cx:f>_xlchart.v1.13</cx:f>
              <cx:v>M-o-M%</cx:v>
            </cx:txData>
          </cx:tx>
          <cx:dataLabels pos="ctr">
            <cx:visibility seriesName="0" categoryName="1" value="1"/>
            <cx:separator>, </cx:separator>
          </cx:dataLabels>
          <cx:dataId val="0"/>
        </cx:series>
      </cx:plotAreaRegion>
    </cx:plotArea>
    <cx:legend pos="l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n-US" sz="1400" b="0" i="0" baseline="0">
                <a:effectLst/>
              </a:rPr>
              <a:t>Food Inflation M-o-M in Rural+Urban Sector</a:t>
            </a:r>
            <a:endParaRPr lang="en-IN" sz="1400">
              <a:effectLst/>
            </a:endParaRPr>
          </a:p>
        </cx:rich>
      </cx:tx>
    </cx:title>
    <cx:plotArea>
      <cx:plotAreaRegion>
        <cx:series layoutId="sunburst" uniqueId="{93B979F7-3433-434F-8521-140413919354}">
          <cx:tx>
            <cx:txData>
              <cx:f>_xlchart.v1.10</cx:f>
              <cx:v>M-o-M%</cx:v>
            </cx:txData>
          </cx:tx>
          <cx:dataLabels pos="ctr">
            <cx:visibility seriesName="0" categoryName="1" value="1"/>
            <cx:separator>, </cx:separator>
          </cx:dataLabels>
          <cx:dataId val="0"/>
        </cx:series>
      </cx:plotAreaRegion>
    </cx:plotArea>
    <cx:legend pos="l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>
      <cx:tx>
        <cx:txData>
          <cx:v>Individual Category of Food inflation in Rural Sector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Individual Category of Food inflation in Rural Sector </a:t>
          </a:r>
        </a:p>
      </cx:txPr>
    </cx:title>
    <cx:plotArea>
      <cx:plotAreaRegion>
        <cx:series layoutId="treemap" uniqueId="{0124C60A-D6C0-450C-826F-B8A88E5906FD}">
          <cx:tx>
            <cx:txData>
              <cx:f>_xlchart.v1.19</cx:f>
              <cx:v>Contribution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400" b="0" i="0" baseline="0">
                <a:effectLst/>
              </a:rPr>
              <a:t>Individual Category of Food inflation in Urban Sector </a:t>
            </a:r>
            <a:endParaRPr lang="en-IN" sz="1400">
              <a:effectLst/>
            </a:endParaRPr>
          </a:p>
        </cx:rich>
      </cx:tx>
    </cx:title>
    <cx:plotArea>
      <cx:plotAreaRegion>
        <cx:series layoutId="treemap" uniqueId="{41CFE39F-B67B-4229-8C8A-E6D1868F230F}">
          <cx:tx>
            <cx:txData>
              <cx:f>_xlchart.v1.22</cx:f>
              <cx:v>Contribution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400" b="0" i="0" baseline="0">
                <a:effectLst/>
              </a:rPr>
              <a:t>Individual Category of Food inflation in Rural+Urban Sector </a:t>
            </a:r>
            <a:endParaRPr lang="en-IN" sz="1400">
              <a:effectLst/>
            </a:endParaRPr>
          </a:p>
        </cx:rich>
      </cx:tx>
    </cx:title>
    <cx:plotArea>
      <cx:plotAreaRegion>
        <cx:series layoutId="treemap" uniqueId="{EDBD4622-D88C-413A-8C18-2C6865351EA5}">
          <cx:tx>
            <cx:txData>
              <cx:f>_xlchart.v1.16</cx:f>
              <cx:v>Contribution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size">
        <cx:f>_xlchart.v1.29</cx:f>
      </cx:numDim>
    </cx:data>
  </cx:chartData>
  <cx:chart>
    <cx:title pos="t" align="ctr" overlay="0">
      <cx:tx>
        <cx:txData>
          <cx:v>#Trends in oil price change with change in inflation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#Trends in oil price change with change in inflation</a:t>
          </a:r>
        </a:p>
      </cx:txPr>
    </cx:title>
    <cx:plotArea>
      <cx:plotAreaRegion>
        <cx:series layoutId="treemap" uniqueId="{C68AEB01-B2D5-4A25-9983-D7714EEBB27B}">
          <cx:tx>
            <cx:txData>
              <cx:f>_xlchart.v1.28</cx:f>
              <cx:v> Inflation% 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l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openxmlformats.org/officeDocument/2006/relationships/chart" Target="../charts/chart4.xml"/><Relationship Id="rId7" Type="http://schemas.microsoft.com/office/2014/relationships/chartEx" Target="../charts/chartEx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6.xml"/><Relationship Id="rId5" Type="http://schemas.microsoft.com/office/2014/relationships/chartEx" Target="../charts/chartEx3.xml"/><Relationship Id="rId4" Type="http://schemas.openxmlformats.org/officeDocument/2006/relationships/chart" Target="../charts/chart5.xml"/><Relationship Id="rId9" Type="http://schemas.microsoft.com/office/2014/relationships/chartEx" Target="../charts/chartEx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microsoft.com/office/2014/relationships/chartEx" Target="../charts/chartEx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43</xdr:row>
      <xdr:rowOff>114300</xdr:rowOff>
    </xdr:from>
    <xdr:to>
      <xdr:col>8</xdr:col>
      <xdr:colOff>236220</xdr:colOff>
      <xdr:row>47</xdr:row>
      <xdr:rowOff>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B6FA1EA-E589-46DD-EDB4-28204BAA6825}"/>
            </a:ext>
          </a:extLst>
        </xdr:cNvPr>
        <xdr:cNvSpPr/>
      </xdr:nvSpPr>
      <xdr:spPr>
        <a:xfrm>
          <a:off x="5082540" y="8389620"/>
          <a:ext cx="3299460" cy="9448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853440</xdr:colOff>
      <xdr:row>106</xdr:row>
      <xdr:rowOff>152400</xdr:rowOff>
    </xdr:from>
    <xdr:to>
      <xdr:col>8</xdr:col>
      <xdr:colOff>571500</xdr:colOff>
      <xdr:row>110</xdr:row>
      <xdr:rowOff>99060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27A3EAC3-ACF2-4EE5-9F4A-7CCBE4B4D066}"/>
            </a:ext>
          </a:extLst>
        </xdr:cNvPr>
        <xdr:cNvSpPr/>
      </xdr:nvSpPr>
      <xdr:spPr>
        <a:xfrm>
          <a:off x="4899660" y="20604480"/>
          <a:ext cx="3817620" cy="10058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53340</xdr:colOff>
      <xdr:row>171</xdr:row>
      <xdr:rowOff>91440</xdr:rowOff>
    </xdr:from>
    <xdr:to>
      <xdr:col>8</xdr:col>
      <xdr:colOff>762000</xdr:colOff>
      <xdr:row>177</xdr:row>
      <xdr:rowOff>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A9F97ABA-6E3A-46AA-8CCC-0D96494A2F73}"/>
            </a:ext>
          </a:extLst>
        </xdr:cNvPr>
        <xdr:cNvSpPr/>
      </xdr:nvSpPr>
      <xdr:spPr>
        <a:xfrm>
          <a:off x="5090160" y="32842200"/>
          <a:ext cx="3817620" cy="13335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18</xdr:row>
      <xdr:rowOff>34290</xdr:rowOff>
    </xdr:from>
    <xdr:to>
      <xdr:col>6</xdr:col>
      <xdr:colOff>579120</xdr:colOff>
      <xdr:row>35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D7437A-F4A5-D2C5-3E75-62952F5B8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69</xdr:row>
      <xdr:rowOff>11430</xdr:rowOff>
    </xdr:from>
    <xdr:to>
      <xdr:col>6</xdr:col>
      <xdr:colOff>594360</xdr:colOff>
      <xdr:row>86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A3D1EF-79CC-97AA-040C-A38E98F0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114</xdr:row>
      <xdr:rowOff>163830</xdr:rowOff>
    </xdr:from>
    <xdr:to>
      <xdr:col>6</xdr:col>
      <xdr:colOff>594360</xdr:colOff>
      <xdr:row>131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C41305-C60B-FB89-54BE-050DDE53A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16</xdr:row>
      <xdr:rowOff>160020</xdr:rowOff>
    </xdr:from>
    <xdr:to>
      <xdr:col>10</xdr:col>
      <xdr:colOff>152400</xdr:colOff>
      <xdr:row>34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1B83B9-801E-0E58-0F41-9888CB7834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3086100"/>
              <a:ext cx="9144000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556260</xdr:colOff>
      <xdr:row>58</xdr:row>
      <xdr:rowOff>160020</xdr:rowOff>
    </xdr:from>
    <xdr:to>
      <xdr:col>10</xdr:col>
      <xdr:colOff>358140</xdr:colOff>
      <xdr:row>76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4D62C4-2CBA-E1DB-3CBF-7D9BCBBEEB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8820" y="11201400"/>
              <a:ext cx="9174480" cy="3307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206828</xdr:colOff>
      <xdr:row>17</xdr:row>
      <xdr:rowOff>0</xdr:rowOff>
    </xdr:from>
    <xdr:to>
      <xdr:col>15</xdr:col>
      <xdr:colOff>181428</xdr:colOff>
      <xdr:row>34</xdr:row>
      <xdr:rowOff>65314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20D2B5-B329-F7A2-DD87-2976CAE77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490945</xdr:colOff>
      <xdr:row>59</xdr:row>
      <xdr:rowOff>7619</xdr:rowOff>
    </xdr:from>
    <xdr:to>
      <xdr:col>14</xdr:col>
      <xdr:colOff>1498236</xdr:colOff>
      <xdr:row>75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AE2AF6-878A-98D9-E14C-31E5FE24C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274320</xdr:colOff>
      <xdr:row>103</xdr:row>
      <xdr:rowOff>156210</xdr:rowOff>
    </xdr:from>
    <xdr:to>
      <xdr:col>8</xdr:col>
      <xdr:colOff>495300</xdr:colOff>
      <xdr:row>118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E6B0A74-A80D-9F76-5CB3-A99E3E09A9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6880" y="20006310"/>
              <a:ext cx="72923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632460</xdr:colOff>
      <xdr:row>104</xdr:row>
      <xdr:rowOff>19050</xdr:rowOff>
    </xdr:from>
    <xdr:to>
      <xdr:col>14</xdr:col>
      <xdr:colOff>144780</xdr:colOff>
      <xdr:row>119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0D0B24-5B3C-890A-476E-FC185EB7B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147</xdr:row>
      <xdr:rowOff>148590</xdr:rowOff>
    </xdr:from>
    <xdr:to>
      <xdr:col>4</xdr:col>
      <xdr:colOff>190500</xdr:colOff>
      <xdr:row>163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E894200-38D7-2B26-7E68-6FB59D1319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" y="28624530"/>
              <a:ext cx="6240780" cy="321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167640</xdr:colOff>
      <xdr:row>153</xdr:row>
      <xdr:rowOff>129540</xdr:rowOff>
    </xdr:from>
    <xdr:to>
      <xdr:col>4</xdr:col>
      <xdr:colOff>1432560</xdr:colOff>
      <xdr:row>155</xdr:row>
      <xdr:rowOff>76200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53692C68-AADB-0224-E956-28AA8A997AF4}"/>
            </a:ext>
          </a:extLst>
        </xdr:cNvPr>
        <xdr:cNvSpPr/>
      </xdr:nvSpPr>
      <xdr:spPr>
        <a:xfrm>
          <a:off x="6702911" y="28287681"/>
          <a:ext cx="1264920" cy="61004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191</xdr:row>
      <xdr:rowOff>110490</xdr:rowOff>
    </xdr:from>
    <xdr:to>
      <xdr:col>4</xdr:col>
      <xdr:colOff>15240</xdr:colOff>
      <xdr:row>210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A42A650-D742-6D11-60A4-76241AA63D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" y="37372290"/>
              <a:ext cx="6080760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98612</xdr:colOff>
      <xdr:row>200</xdr:row>
      <xdr:rowOff>143435</xdr:rowOff>
    </xdr:from>
    <xdr:to>
      <xdr:col>4</xdr:col>
      <xdr:colOff>1363532</xdr:colOff>
      <xdr:row>201</xdr:row>
      <xdr:rowOff>466164</xdr:rowOff>
    </xdr:to>
    <xdr:sp macro="" textlink="">
      <xdr:nvSpPr>
        <xdr:cNvPr id="14" name="Arrow: Left 13">
          <a:extLst>
            <a:ext uri="{FF2B5EF4-FFF2-40B4-BE49-F238E27FC236}">
              <a16:creationId xmlns:a16="http://schemas.microsoft.com/office/drawing/2014/main" id="{B36DE2D0-327A-46E6-B3C9-DACD0339CDF6}"/>
            </a:ext>
          </a:extLst>
        </xdr:cNvPr>
        <xdr:cNvSpPr/>
      </xdr:nvSpPr>
      <xdr:spPr>
        <a:xfrm>
          <a:off x="6633883" y="35240259"/>
          <a:ext cx="1264920" cy="50202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31375</xdr:colOff>
      <xdr:row>240</xdr:row>
      <xdr:rowOff>26893</xdr:rowOff>
    </xdr:from>
    <xdr:to>
      <xdr:col>4</xdr:col>
      <xdr:colOff>71716</xdr:colOff>
      <xdr:row>260</xdr:row>
      <xdr:rowOff>125504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20A32500-E1DB-59A5-4768-9CE3EF380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195" y="46988953"/>
              <a:ext cx="6105861" cy="4061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116542</xdr:colOff>
      <xdr:row>247</xdr:row>
      <xdr:rowOff>152400</xdr:rowOff>
    </xdr:from>
    <xdr:to>
      <xdr:col>4</xdr:col>
      <xdr:colOff>1381462</xdr:colOff>
      <xdr:row>249</xdr:row>
      <xdr:rowOff>0</xdr:rowOff>
    </xdr:to>
    <xdr:sp macro="" textlink="">
      <xdr:nvSpPr>
        <xdr:cNvPr id="17" name="Arrow: Left 16">
          <a:extLst>
            <a:ext uri="{FF2B5EF4-FFF2-40B4-BE49-F238E27FC236}">
              <a16:creationId xmlns:a16="http://schemas.microsoft.com/office/drawing/2014/main" id="{881C3426-357F-4411-9BF3-A339FA2CC1FB}"/>
            </a:ext>
          </a:extLst>
        </xdr:cNvPr>
        <xdr:cNvSpPr/>
      </xdr:nvSpPr>
      <xdr:spPr>
        <a:xfrm>
          <a:off x="6651813" y="42905082"/>
          <a:ext cx="1264920" cy="51098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335280</xdr:colOff>
      <xdr:row>3</xdr:row>
      <xdr:rowOff>95250</xdr:rowOff>
    </xdr:from>
    <xdr:to>
      <xdr:col>23</xdr:col>
      <xdr:colOff>212034</xdr:colOff>
      <xdr:row>14</xdr:row>
      <xdr:rowOff>172974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44A7F-DFAF-C788-05ED-BEE2F3000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331303</xdr:colOff>
      <xdr:row>15</xdr:row>
      <xdr:rowOff>29818</xdr:rowOff>
    </xdr:from>
    <xdr:to>
      <xdr:col>23</xdr:col>
      <xdr:colOff>238538</xdr:colOff>
      <xdr:row>28</xdr:row>
      <xdr:rowOff>139148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6F5C8A-0B0A-1571-D9D8-A3831ECB4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330926</xdr:colOff>
      <xdr:row>29</xdr:row>
      <xdr:rowOff>47352</xdr:rowOff>
    </xdr:from>
    <xdr:to>
      <xdr:col>23</xdr:col>
      <xdr:colOff>261258</xdr:colOff>
      <xdr:row>42</xdr:row>
      <xdr:rowOff>26893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21CE9A-00CC-B638-302A-B01153AF7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249763</xdr:colOff>
      <xdr:row>2</xdr:row>
      <xdr:rowOff>7620</xdr:rowOff>
    </xdr:from>
    <xdr:to>
      <xdr:col>14</xdr:col>
      <xdr:colOff>552959</xdr:colOff>
      <xdr:row>16</xdr:row>
      <xdr:rowOff>169214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3FBE2-DC33-4767-BF72-E0B31941C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17</xdr:row>
      <xdr:rowOff>110490</xdr:rowOff>
    </xdr:from>
    <xdr:to>
      <xdr:col>14</xdr:col>
      <xdr:colOff>571500</xdr:colOff>
      <xdr:row>32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2E909-4EED-DD5E-D33F-F6D3E1024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32</xdr:row>
      <xdr:rowOff>171450</xdr:rowOff>
    </xdr:from>
    <xdr:to>
      <xdr:col>14</xdr:col>
      <xdr:colOff>571500</xdr:colOff>
      <xdr:row>47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AF9863-E4BC-0E35-8ED8-244E0E5F4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65318</xdr:rowOff>
    </xdr:from>
    <xdr:to>
      <xdr:col>7</xdr:col>
      <xdr:colOff>204197</xdr:colOff>
      <xdr:row>16</xdr:row>
      <xdr:rowOff>167293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21DB0-C185-4D30-B820-EF43FFD29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304799</xdr:colOff>
      <xdr:row>2</xdr:row>
      <xdr:rowOff>65318</xdr:rowOff>
    </xdr:from>
    <xdr:to>
      <xdr:col>14</xdr:col>
      <xdr:colOff>364784</xdr:colOff>
      <xdr:row>16</xdr:row>
      <xdr:rowOff>158298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AA42F-D6CA-4D2A-9F6E-A3F714F35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17929</xdr:colOff>
      <xdr:row>17</xdr:row>
      <xdr:rowOff>50590</xdr:rowOff>
    </xdr:from>
    <xdr:to>
      <xdr:col>14</xdr:col>
      <xdr:colOff>271593</xdr:colOff>
      <xdr:row>32</xdr:row>
      <xdr:rowOff>80673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E4A5C6-01A4-4D02-AF63-552C3CC3E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453358</xdr:colOff>
      <xdr:row>2</xdr:row>
      <xdr:rowOff>65319</xdr:rowOff>
    </xdr:from>
    <xdr:to>
      <xdr:col>22</xdr:col>
      <xdr:colOff>598714</xdr:colOff>
      <xdr:row>16</xdr:row>
      <xdr:rowOff>126349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4AB86F-F244-473C-B263-891F8E766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475129</xdr:colOff>
      <xdr:row>17</xdr:row>
      <xdr:rowOff>5767</xdr:rowOff>
    </xdr:from>
    <xdr:to>
      <xdr:col>22</xdr:col>
      <xdr:colOff>609600</xdr:colOff>
      <xdr:row>32</xdr:row>
      <xdr:rowOff>3900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C6FB805-609A-4A25-A3CF-F5BE4680A9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9529" y="3434767"/>
              <a:ext cx="5479357" cy="277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18F0C2-BA8E-4745-937B-A529140AC67A}" name="Table4" displayName="Table4" ref="B6:AB30" totalsRowShown="0" headerRowDxfId="14">
  <autoFilter ref="B6:AB30" xr:uid="{4318F0C2-BA8E-4745-937B-A529140AC67A}"/>
  <tableColumns count="27">
    <tableColumn id="1" xr3:uid="{F6994063-533F-43EE-AFF3-1E1095F9971B}" name="Oil Prices" dataDxfId="13" dataCellStyle="Comma"/>
    <tableColumn id="2" xr3:uid="{D2A7FF37-3230-4579-8ABF-E10442DFCC4C}" name="Cereals and products"/>
    <tableColumn id="3" xr3:uid="{6729721F-FE5D-4BD1-8B06-CA1D4DBD42A5}" name="Meat and fish"/>
    <tableColumn id="4" xr3:uid="{BF68354A-13E2-479C-B5C6-CFEF4A777597}" name="Egg"/>
    <tableColumn id="5" xr3:uid="{BDC4C05D-8DCF-434A-AB80-BE2957735ADC}" name="Milk and products"/>
    <tableColumn id="6" xr3:uid="{87E7D81E-E21F-4E48-9DEA-A4B389C62E90}" name="Oils and fats"/>
    <tableColumn id="7" xr3:uid="{E3B0CCB8-71AE-4072-AB23-7AC5422ABC1E}" name="Fruits"/>
    <tableColumn id="8" xr3:uid="{698C9A91-58CE-4DEC-BDE1-285C2A1182AE}" name="Vegetables"/>
    <tableColumn id="9" xr3:uid="{3011BFD4-C9E1-40F6-9D17-71AC90AFD398}" name="Pulses and products"/>
    <tableColumn id="10" xr3:uid="{8E6E4F74-9A3E-4798-8995-46CD3D08606D}" name="Sugar and Confectionery"/>
    <tableColumn id="11" xr3:uid="{C9C9E3AA-C81C-4E13-AB72-4B66272A6C46}" name="Spices"/>
    <tableColumn id="12" xr3:uid="{298D94FB-603C-47B0-AABE-E51298455C95}" name="Non-alcoholic beverages"/>
    <tableColumn id="13" xr3:uid="{68046A3E-866D-491E-BA87-B47FA5EE8431}" name="Prepared meals, snacks, sweets etc."/>
    <tableColumn id="14" xr3:uid="{1FC65D86-9D40-4A32-9082-46CF160200DF}" name="Food and beverages"/>
    <tableColumn id="15" xr3:uid="{0763972C-9FBD-42D4-98C6-38FAB2CCFDEB}" name="Pan, tobacco and intoxicants"/>
    <tableColumn id="16" xr3:uid="{8AEA8F2A-9F80-499F-8033-EF7E09CE4080}" name="Clothing"/>
    <tableColumn id="17" xr3:uid="{85190183-7C21-4FAE-936D-FBF8CCDB115F}" name="Footwear"/>
    <tableColumn id="18" xr3:uid="{8CAF5B9B-60A5-4DDC-A3B8-8A6DE3279D2B}" name="Clothing and footwear"/>
    <tableColumn id="19" xr3:uid="{7F1E204B-5658-4144-9733-A6094FC6606A}" name="Fuel and light"/>
    <tableColumn id="20" xr3:uid="{13D02DC5-4AAE-40E0-98F4-8BB675B1FA93}" name="Household goods and services"/>
    <tableColumn id="21" xr3:uid="{FEB4BB2E-DEA6-4D9E-B0CE-FC6BAE880E43}" name="Health"/>
    <tableColumn id="22" xr3:uid="{7E8FE8E1-B5E6-4F34-BA24-8978A9E1CBEE}" name="Transport and communication"/>
    <tableColumn id="23" xr3:uid="{63E7B022-E035-40F0-B3F1-9265C246CF29}" name="Recreation and amusement"/>
    <tableColumn id="24" xr3:uid="{2C978406-7D48-4475-B850-9950BD2D6D6D}" name="Education"/>
    <tableColumn id="25" xr3:uid="{FAD1219D-0015-4B84-8BF5-1C69A79ECDA9}" name="Personal care and effects"/>
    <tableColumn id="26" xr3:uid="{3F3EDDC1-C53B-453B-8F9C-D912BDD5508C}" name="Miscellaneous"/>
    <tableColumn id="27" xr3:uid="{4BC70408-9EB8-4526-8EC0-CB6A789C6C11}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098DF4-81E3-4299-B6A3-3C3DEC5196DC}" name="Table7" displayName="Table7" ref="A68:AC92" totalsRowShown="0" headerRowDxfId="12">
  <autoFilter ref="A68:AC92" xr:uid="{01098DF4-81E3-4299-B6A3-3C3DEC5196DC}"/>
  <tableColumns count="29">
    <tableColumn id="1" xr3:uid="{32367210-5C0D-426E-B397-9D23860149BC}" name="Date" dataDxfId="11"/>
    <tableColumn id="2" xr3:uid="{F1980E89-B59B-484A-A5A3-1FDC14D7E5C2}" name="Oil Prices" dataDxfId="10" dataCellStyle="Comma"/>
    <tableColumn id="3" xr3:uid="{2085ED1C-E2F7-4CB5-A475-FD6FEB212306}" name="Cereals and products"/>
    <tableColumn id="4" xr3:uid="{0F029C23-1364-4000-AA0A-0EB8C5580563}" name="Meat and fish"/>
    <tableColumn id="5" xr3:uid="{3690FFF6-71DE-46FB-BD05-66674F9F4814}" name="Egg"/>
    <tableColumn id="6" xr3:uid="{892675A9-57FC-4F48-B381-EB05DB9279F0}" name="Milk and products"/>
    <tableColumn id="7" xr3:uid="{35265B55-C2B5-4BC7-A87C-674D77FB932A}" name="Oils and fats"/>
    <tableColumn id="8" xr3:uid="{7B4D5EEF-21FE-4431-8ECE-0A71666073FA}" name="Fruits"/>
    <tableColumn id="9" xr3:uid="{F0FDB37E-0B12-4CE8-9FA3-AAC7346CF115}" name="Vegetables"/>
    <tableColumn id="10" xr3:uid="{FC6B9BB3-6802-45A4-AFBB-4674B3D2DA33}" name="Pulses and products"/>
    <tableColumn id="11" xr3:uid="{67C174E9-042E-455A-95E9-2B343A9EACB0}" name="Sugar and Confectionery"/>
    <tableColumn id="12" xr3:uid="{75B8DFA1-8893-4C36-AF12-C2107DD6AE5E}" name="Spices"/>
    <tableColumn id="13" xr3:uid="{BC3715D1-7355-4948-BEEF-3C0DF1CCD37A}" name="Non-alcoholic beverages"/>
    <tableColumn id="14" xr3:uid="{1B1061D8-2473-4281-92A0-799BA6C758BB}" name="Prepared meals, snacks, sweets etc."/>
    <tableColumn id="15" xr3:uid="{8AF714C9-7282-404F-B112-7104098FADAF}" name="Food and beverages"/>
    <tableColumn id="16" xr3:uid="{CED061D4-3A78-400B-9FA4-624F32238D93}" name="Pan, tobacco and intoxicants"/>
    <tableColumn id="17" xr3:uid="{D2FD8103-41B6-4418-96B5-520ED79C143A}" name="Clothing"/>
    <tableColumn id="18" xr3:uid="{8DAEA1EA-2AAD-4724-8034-1DF5AA6E097C}" name="Footwear"/>
    <tableColumn id="19" xr3:uid="{70354894-AB85-46D0-A007-BCAF0A32FE4A}" name="Clothing and footwear"/>
    <tableColumn id="20" xr3:uid="{152C8B7D-BDE1-4C62-88BF-F35BFDEC59A2}" name="Housing"/>
    <tableColumn id="21" xr3:uid="{C2A94C3E-4ADF-45BE-AFDC-E4FC22941AEE}" name="Fuel and light"/>
    <tableColumn id="22" xr3:uid="{FB729895-FC05-4BDD-A639-A6667D5B9A73}" name="Household goods and services"/>
    <tableColumn id="23" xr3:uid="{B7F197DE-CDFD-4861-B9E1-2A7D3B902970}" name="Health"/>
    <tableColumn id="24" xr3:uid="{455ECF93-FE68-45A4-927E-4AE1AB8B7155}" name="Transport and communication"/>
    <tableColumn id="25" xr3:uid="{7B419EC2-1365-449D-AA91-7C3D062B2F5E}" name="Recreation and amusement"/>
    <tableColumn id="26" xr3:uid="{41F9681F-D965-42F8-8E99-1B7B05AFCFD6}" name="Education"/>
    <tableColumn id="27" xr3:uid="{212B841B-6583-42CA-B008-D24BF4D5767F}" name="Personal care and effects"/>
    <tableColumn id="28" xr3:uid="{1800ACA8-4EDF-4CD7-9312-805D76CD8927}" name="Miscellaneous"/>
    <tableColumn id="29" xr3:uid="{216A95EF-A58D-4CEC-996C-3BA4C17BF14E}" name="General index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ED9EEA-C147-4A42-8716-4936A907E006}" name="Table8" displayName="Table8" ref="A131:AC155" totalsRowShown="0" headerRowDxfId="9">
  <autoFilter ref="A131:AC155" xr:uid="{B9ED9EEA-C147-4A42-8716-4936A907E006}"/>
  <tableColumns count="29">
    <tableColumn id="1" xr3:uid="{5CD9A00F-732B-431C-96AF-CA4C679E7A9C}" name="Date" dataDxfId="8"/>
    <tableColumn id="2" xr3:uid="{5C79E690-A7A8-4ED4-896C-D17242B67734}" name="Oil Prices" dataDxfId="7" dataCellStyle="Comma"/>
    <tableColumn id="3" xr3:uid="{221F9C6D-E1C2-4E24-B979-3568E45D7F3F}" name="Cereals and products"/>
    <tableColumn id="4" xr3:uid="{BD667957-04BF-4145-9BEB-E23EE19CA3D5}" name="Meat and fish"/>
    <tableColumn id="5" xr3:uid="{C45CCEE6-FFAF-4705-9323-8F3BB5CDF9AF}" name="Egg"/>
    <tableColumn id="6" xr3:uid="{F44B8D0F-E8A0-4735-8683-5CA62EB279E3}" name="Milk and products"/>
    <tableColumn id="7" xr3:uid="{306CE2F4-3EDF-44E6-8C4D-8BF056519B5D}" name="Oils and fats"/>
    <tableColumn id="8" xr3:uid="{1E10E0E8-8EF8-45C8-9405-2E4921769BBA}" name="Fruits"/>
    <tableColumn id="9" xr3:uid="{690D94BE-D2A4-4B35-9089-0D6ADC5594DE}" name="Vegetables"/>
    <tableColumn id="10" xr3:uid="{2F75EC88-B753-416C-88B2-DFBF2B4E98B2}" name="Pulses and products"/>
    <tableColumn id="11" xr3:uid="{724D2E00-FF28-4FC6-9C38-30D55A7244A6}" name="Sugar and Confectionery"/>
    <tableColumn id="12" xr3:uid="{CFF6C7CC-3368-41AE-858D-F3EBA1D9E01E}" name="Spices"/>
    <tableColumn id="13" xr3:uid="{94D9DBD2-71F2-4A52-B9BF-54E5C6B649A8}" name="Non-alcoholic beverages"/>
    <tableColumn id="14" xr3:uid="{F6C15BAB-69AD-438A-B45A-060C8D918A2D}" name="Prepared meals, snacks, sweets etc."/>
    <tableColumn id="15" xr3:uid="{AF7F40FE-788F-40FC-B611-6622EEAB654D}" name="Food and beverages"/>
    <tableColumn id="16" xr3:uid="{CCBA593C-5372-4C39-B7E9-B694C9BD1664}" name="Pan, tobacco and intoxicants"/>
    <tableColumn id="17" xr3:uid="{18A4E7C7-04B0-48BE-BD4C-BB4835143AF5}" name="Clothing"/>
    <tableColumn id="18" xr3:uid="{013AF0D3-EBAF-4503-BEDA-CE124C53B893}" name="Footwear"/>
    <tableColumn id="19" xr3:uid="{26624CB0-88EF-48AA-A1FD-D88F3664F164}" name="Clothing and footwear"/>
    <tableColumn id="20" xr3:uid="{2175F07F-2F44-49A5-A13E-E57E480BAAB6}" name="Housing"/>
    <tableColumn id="21" xr3:uid="{D3B11BE0-6D56-4D1A-B6DD-2AA039E0D0B9}" name="Fuel and light"/>
    <tableColumn id="22" xr3:uid="{9CC88514-DAEE-4F79-8C7C-31BEF8B900CE}" name="Household goods and services"/>
    <tableColumn id="23" xr3:uid="{391CBB59-C2C0-4423-A2AC-0451088522B1}" name="Health"/>
    <tableColumn id="24" xr3:uid="{54DDD997-CC88-4375-A57B-CADD1B34464F}" name="Transport and communication"/>
    <tableColumn id="25" xr3:uid="{201680AE-8B0C-4D51-AFC1-BA910AB2010F}" name="Recreation and amusement"/>
    <tableColumn id="26" xr3:uid="{B95F6B13-CA61-47EA-9AAA-947A3CA49A96}" name="Education"/>
    <tableColumn id="27" xr3:uid="{6F679EA3-D8AE-4608-BE79-D00EE13EDD3A}" name="Personal care and effects"/>
    <tableColumn id="28" xr3:uid="{67B2FB4A-FDE0-4BA3-86CD-F7DDCEA222E0}" name="Miscellaneous"/>
    <tableColumn id="29" xr3:uid="{5EB13651-8F74-4BD3-989A-4531A7118D60}" name="General index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494D7-6B72-4068-9AF9-9A78A93B76F1}" name="Table1" displayName="Table1" ref="A2:Q15" totalsRowShown="0" headerRowDxfId="6">
  <autoFilter ref="A2:Q15" xr:uid="{C55494D7-6B72-4068-9AF9-9A78A93B76F1}"/>
  <tableColumns count="17">
    <tableColumn id="1" xr3:uid="{74D2535B-23F4-472E-BE19-4D4774A16266}" name="Year"/>
    <tableColumn id="2" xr3:uid="{1BA82E30-A91D-4C8A-B988-71BAF9010AAC}" name="Month"/>
    <tableColumn id="3" xr3:uid="{BFA05E32-F170-4AD1-A9B6-B08E08DECBDF}" name="Food CPI">
      <calculatedColumnFormula>SUM(E3:Q3)</calculatedColumnFormula>
    </tableColumn>
    <tableColumn id="4" xr3:uid="{B047502F-CF82-4C8B-AE58-8E3CD04B76AA}" name="M-o-M%" dataDxfId="5" dataCellStyle="Percent">
      <calculatedColumnFormula>(C3-C2)/C2</calculatedColumnFormula>
    </tableColumn>
    <tableColumn id="5" xr3:uid="{BD89B09C-E153-49E5-8318-FC242A851913}" name="Cereals and products"/>
    <tableColumn id="6" xr3:uid="{3A6140BE-49FB-4562-ADB8-DF8CAA24C634}" name="Meat and fish"/>
    <tableColumn id="7" xr3:uid="{089797CE-8A57-4978-B0E0-9917D17E67C2}" name="Egg"/>
    <tableColumn id="8" xr3:uid="{0B478818-E7C7-4158-A4CE-4A938BFC6F26}" name="Milk and products"/>
    <tableColumn id="9" xr3:uid="{50831D18-DC1D-4949-9624-CF540DACD651}" name="Oils and fats"/>
    <tableColumn id="10" xr3:uid="{1ED79859-F1CF-4FD9-9D74-03D1AF3B4186}" name="Fruits"/>
    <tableColumn id="11" xr3:uid="{85B203DB-420A-4A16-BC5D-C28A8F5D623C}" name="Vegetables"/>
    <tableColumn id="12" xr3:uid="{9DB013B9-F9FA-48A2-8EF4-2C13A47591D1}" name="Pulses and products"/>
    <tableColumn id="13" xr3:uid="{4D698C80-824B-4A29-9CC3-91E6C3477895}" name="Sugar and Confectionery"/>
    <tableColumn id="14" xr3:uid="{961A3EB0-6311-4E13-B893-89B8B457CF4E}" name="Spices"/>
    <tableColumn id="15" xr3:uid="{4DA79F86-9973-4626-A9D2-CFEC3B452ABB}" name="Non-alcoholic beverages"/>
    <tableColumn id="16" xr3:uid="{2756669A-E86D-44FF-AC8E-4BDCCDAA37DE}" name="Prepared meals, snacks, sweets etc."/>
    <tableColumn id="17" xr3:uid="{1158A6B3-6100-465B-BBC1-530BE3B90540}" name="Food and beverag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097ED-D914-4C99-AA2C-26F0B87A312A}" name="Table2" displayName="Table2" ref="A43:Q56" totalsRowShown="0" headerRowDxfId="4">
  <autoFilter ref="A43:Q56" xr:uid="{98B097ED-D914-4C99-AA2C-26F0B87A312A}"/>
  <tableColumns count="17">
    <tableColumn id="1" xr3:uid="{8AB7B71C-72B1-402A-88DC-6DF9A7D4F467}" name="Year"/>
    <tableColumn id="2" xr3:uid="{E1B6F338-10CE-4E10-8ECE-36E888B2640A}" name="Month"/>
    <tableColumn id="3" xr3:uid="{5E4FE6D2-E582-44AD-931D-615CF8EF47FD}" name="Food CPI">
      <calculatedColumnFormula>SUM(E44:Q44)</calculatedColumnFormula>
    </tableColumn>
    <tableColumn id="4" xr3:uid="{6D77FB9C-D4C3-4A52-968B-DD0F04302379}" name="M-o-M%" dataDxfId="3" dataCellStyle="Percent">
      <calculatedColumnFormula>(C44-C43)/C43</calculatedColumnFormula>
    </tableColumn>
    <tableColumn id="5" xr3:uid="{66E5F05A-45F4-4458-BC44-03A788F2E8BD}" name="Cereals and products"/>
    <tableColumn id="6" xr3:uid="{EF113302-FFBE-4365-B7E2-6A1551477D9A}" name="Meat and fish"/>
    <tableColumn id="7" xr3:uid="{AE20315F-E861-450A-86FF-D738B7A2B07B}" name="Egg"/>
    <tableColumn id="8" xr3:uid="{964BA578-C13A-4D73-A95B-A6C894756B1A}" name="Milk and products"/>
    <tableColumn id="9" xr3:uid="{06070F6A-A0B2-4465-BB5C-FF195950A557}" name="Oils and fats"/>
    <tableColumn id="10" xr3:uid="{CC5CC2C1-7230-45F1-95CA-73EA7BA7460B}" name="Fruits"/>
    <tableColumn id="11" xr3:uid="{8C43F874-AD08-4D1D-B62A-B6BFD21B4B0B}" name="Vegetables"/>
    <tableColumn id="12" xr3:uid="{E4B96F15-F1C6-453A-BE7F-FA995E9689A5}" name="Pulses and products"/>
    <tableColumn id="13" xr3:uid="{6672EDD9-479E-4867-A3AB-5E6EF89DB6E4}" name="Sugar and Confectionery"/>
    <tableColumn id="14" xr3:uid="{F1B0FCFE-08AE-4F7A-8617-FC253C611388}" name="Spices"/>
    <tableColumn id="15" xr3:uid="{064CED75-B989-4FBE-983A-7EF5B9458431}" name="Non-alcoholic beverages"/>
    <tableColumn id="16" xr3:uid="{3B3F30CC-D49B-4265-BF17-8AD053472C69}" name="Prepared meals, snacks, sweets etc."/>
    <tableColumn id="17" xr3:uid="{F9A84212-B69C-478A-B9E6-6D8FC28A3B94}" name="Food and beverages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E364D5-B3B3-4492-8D7D-D140584FC4B8}" name="Table3" displayName="Table3" ref="A84:Q97" totalsRowShown="0" headerRowDxfId="2">
  <autoFilter ref="A84:Q97" xr:uid="{6DE364D5-B3B3-4492-8D7D-D140584FC4B8}"/>
  <tableColumns count="17">
    <tableColumn id="1" xr3:uid="{46988B47-C3EE-4C05-8DF4-CBCCA64CF9EE}" name="Year"/>
    <tableColumn id="2" xr3:uid="{9A0E92C8-35D8-4FD5-A6A2-6F53F815A985}" name="Month"/>
    <tableColumn id="3" xr3:uid="{EEDE4281-3BD3-4B85-B289-7DFBF66D50A3}" name="Food CPI">
      <calculatedColumnFormula>SUM(E85:Q85)</calculatedColumnFormula>
    </tableColumn>
    <tableColumn id="4" xr3:uid="{C8974DF8-3918-41C1-B132-5E028597FAD5}" name="M-o-M%" dataDxfId="1" dataCellStyle="Percent">
      <calculatedColumnFormula>(C85-C84)/C84</calculatedColumnFormula>
    </tableColumn>
    <tableColumn id="5" xr3:uid="{918B2D30-34B9-447F-AF3F-1DC6C5DC2C16}" name="Cereals and products"/>
    <tableColumn id="6" xr3:uid="{5A25BEF2-F9D5-4402-B7D9-0CDB27A05753}" name="Meat and fish"/>
    <tableColumn id="7" xr3:uid="{E11B0C89-AB86-45CC-9FDA-1C67198BFE95}" name="Egg"/>
    <tableColumn id="8" xr3:uid="{C5607F06-A60E-440D-8D20-DC435CF7D036}" name="Milk and products"/>
    <tableColumn id="9" xr3:uid="{6F0B3F9A-6B1D-4765-8DC6-0F314CA58CF0}" name="Oils and fats"/>
    <tableColumn id="10" xr3:uid="{75729388-8A85-445F-8D80-DDEC3955F219}" name="Fruits"/>
    <tableColumn id="11" xr3:uid="{B13EA075-47B2-4E97-A5FE-B850DD74AA56}" name="Vegetables"/>
    <tableColumn id="12" xr3:uid="{BE964276-1761-4857-8328-4766444264C6}" name="Pulses and products"/>
    <tableColumn id="13" xr3:uid="{F5EEBF0C-56C0-4B0B-969E-95D99B27C07A}" name="Sugar and Confectionery"/>
    <tableColumn id="14" xr3:uid="{81CA64A5-988B-47EB-94A8-8D8FFC754903}" name="Spices"/>
    <tableColumn id="15" xr3:uid="{F68DAB63-87D4-41DB-9C4E-218BC21AC37B}" name="Non-alcoholic beverages"/>
    <tableColumn id="16" xr3:uid="{A5359D84-4671-4191-9173-36889B413615}" name="Prepared meals, snacks, sweets etc."/>
    <tableColumn id="17" xr3:uid="{07D9A95E-EA23-4AE7-A335-0D32FE2259D9}" name="Food and beverages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52309D-27C4-4C8D-BDC7-AF8C3FED4576}" name="Table6" displayName="Table6" ref="B133:D146" totalsRowShown="0">
  <autoFilter ref="B133:D146" xr:uid="{3052309D-27C4-4C8D-BDC7-AF8C3FED4576}"/>
  <tableColumns count="3">
    <tableColumn id="1" xr3:uid="{A15D121E-29F8-4637-A92D-A16E0649F607}" name="Individual Category"/>
    <tableColumn id="2" xr3:uid="{A0458385-5615-4813-8BED-4684CB4F726F}" name="Rural"/>
    <tableColumn id="3" xr3:uid="{C009602C-F9AE-45D2-B987-B75D135BC7DF}" name="Contribution" dataDxfId="0" dataCellStyle="Percent">
      <calculatedColumnFormula>C134/$C$147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1940-4A7F-4393-AB07-44B614DD442E}">
  <dimension ref="A1:F14"/>
  <sheetViews>
    <sheetView topLeftCell="A7" zoomScale="235" zoomScaleNormal="235" workbookViewId="0">
      <selection activeCell="E11" sqref="E11"/>
    </sheetView>
  </sheetViews>
  <sheetFormatPr defaultRowHeight="14.4" x14ac:dyDescent="0.3"/>
  <cols>
    <col min="1" max="1" width="14.21875" bestFit="1" customWidth="1"/>
    <col min="2" max="2" width="10.109375" bestFit="1" customWidth="1"/>
    <col min="4" max="4" width="10.5546875" bestFit="1" customWidth="1"/>
    <col min="5" max="5" width="19" bestFit="1" customWidth="1"/>
    <col min="6" max="6" width="11.77734375" bestFit="1" customWidth="1"/>
  </cols>
  <sheetData>
    <row r="1" spans="1:6" x14ac:dyDescent="0.3">
      <c r="A1" t="s">
        <v>30</v>
      </c>
      <c r="B1">
        <v>2013</v>
      </c>
      <c r="C1" t="s">
        <v>31</v>
      </c>
      <c r="D1">
        <v>107.5</v>
      </c>
    </row>
    <row r="2" spans="1:6" x14ac:dyDescent="0.3">
      <c r="A2" t="s">
        <v>30</v>
      </c>
      <c r="B2">
        <v>2013</v>
      </c>
      <c r="C2" t="s">
        <v>35</v>
      </c>
      <c r="D2">
        <v>109.2</v>
      </c>
      <c r="E2" s="2">
        <f>(D2-D1)/D1</f>
        <v>1.5813953488372119E-2</v>
      </c>
      <c r="F2" t="s">
        <v>49</v>
      </c>
    </row>
    <row r="3" spans="1:6" x14ac:dyDescent="0.3">
      <c r="A3" t="s">
        <v>30</v>
      </c>
      <c r="B3">
        <v>2013</v>
      </c>
      <c r="C3" t="s">
        <v>46</v>
      </c>
      <c r="D3">
        <v>118.4</v>
      </c>
      <c r="E3" s="2">
        <f>(D3-D1)/D1</f>
        <v>0.10139534883720935</v>
      </c>
      <c r="F3" t="s">
        <v>50</v>
      </c>
    </row>
    <row r="5" spans="1:6" x14ac:dyDescent="0.3">
      <c r="A5" t="s">
        <v>51</v>
      </c>
      <c r="B5" t="s">
        <v>52</v>
      </c>
    </row>
    <row r="7" spans="1:6" x14ac:dyDescent="0.3">
      <c r="B7" s="3" t="s">
        <v>2</v>
      </c>
      <c r="C7" s="3" t="s">
        <v>53</v>
      </c>
      <c r="D7" s="3" t="s">
        <v>54</v>
      </c>
      <c r="E7" s="3" t="s">
        <v>55</v>
      </c>
    </row>
    <row r="8" spans="1:6" x14ac:dyDescent="0.3">
      <c r="B8" t="s">
        <v>56</v>
      </c>
      <c r="C8">
        <v>101</v>
      </c>
    </row>
    <row r="9" spans="1:6" x14ac:dyDescent="0.3">
      <c r="B9" t="s">
        <v>57</v>
      </c>
      <c r="C9">
        <v>103</v>
      </c>
    </row>
    <row r="10" spans="1:6" x14ac:dyDescent="0.3">
      <c r="B10" t="s">
        <v>36</v>
      </c>
      <c r="C10">
        <v>104</v>
      </c>
    </row>
    <row r="11" spans="1:6" x14ac:dyDescent="0.3">
      <c r="B11" t="s">
        <v>37</v>
      </c>
      <c r="C11" t="s">
        <v>32</v>
      </c>
      <c r="D11">
        <f>(C10+C12)/2</f>
        <v>105.5</v>
      </c>
      <c r="E11" s="4">
        <f>SUM(C8:C10,C12:C14)/6</f>
        <v>105.66666666666667</v>
      </c>
    </row>
    <row r="12" spans="1:6" x14ac:dyDescent="0.3">
      <c r="B12" t="s">
        <v>38</v>
      </c>
      <c r="C12">
        <v>107</v>
      </c>
    </row>
    <row r="13" spans="1:6" x14ac:dyDescent="0.3">
      <c r="B13" t="s">
        <v>58</v>
      </c>
      <c r="C13">
        <v>109</v>
      </c>
    </row>
    <row r="14" spans="1:6" x14ac:dyDescent="0.3">
      <c r="B14" t="s">
        <v>40</v>
      </c>
      <c r="C14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2701-183E-4D87-88D4-6FE660C56FE1}">
  <sheetPr filterMode="1"/>
  <dimension ref="A1:AD383"/>
  <sheetViews>
    <sheetView topLeftCell="A289" zoomScale="130" zoomScaleNormal="130" workbookViewId="0">
      <selection activeCell="D1" sqref="D1:AD358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77734375" bestFit="1" customWidth="1"/>
    <col min="5" max="5" width="12.5546875" bestFit="1" customWidth="1"/>
    <col min="6" max="6" width="6" bestFit="1" customWidth="1"/>
    <col min="7" max="7" width="16.33203125" bestFit="1" customWidth="1"/>
    <col min="8" max="8" width="11.2187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10.21875" bestFit="1" customWidth="1"/>
    <col min="20" max="20" width="20" bestFit="1" customWidth="1"/>
    <col min="21" max="21" width="10" bestFit="1" customWidth="1"/>
    <col min="22" max="22" width="12.21875" bestFit="1" customWidth="1"/>
    <col min="23" max="23" width="26.6640625" bestFit="1" customWidth="1"/>
    <col min="24" max="24" width="8.6640625" bestFit="1" customWidth="1"/>
    <col min="25" max="25" width="26.88671875" bestFit="1" customWidth="1"/>
    <col min="26" max="26" width="24.44140625" bestFit="1" customWidth="1"/>
    <col min="27" max="27" width="9.44140625" bestFit="1" customWidth="1"/>
    <col min="28" max="28" width="22.33203125" bestFit="1" customWidth="1"/>
    <col min="29" max="29" width="12.88671875" bestFit="1" customWidth="1"/>
    <col min="30" max="30" width="12.44140625" bestFit="1" customWidth="1"/>
    <col min="31" max="31" width="15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hidden="1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hidden="1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hidden="1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hidden="1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hidden="1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hidden="1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hidden="1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hidden="1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hidden="1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hidden="1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hidden="1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hidden="1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hidden="1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hidden="1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hidden="1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hidden="1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hidden="1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hidden="1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hidden="1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hidden="1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hidden="1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hidden="1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hidden="1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hidden="1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hidden="1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hidden="1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hidden="1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hidden="1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hidden="1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hidden="1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hidden="1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hidden="1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hidden="1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hidden="1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hidden="1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hidden="1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hidden="1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hidden="1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hidden="1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hidden="1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hidden="1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hidden="1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hidden="1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hidden="1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hidden="1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hidden="1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hidden="1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hidden="1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hidden="1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hidden="1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hidden="1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hidden="1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hidden="1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hidden="1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hidden="1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hidden="1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hidden="1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hidden="1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hidden="1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hidden="1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hidden="1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hidden="1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hidden="1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hidden="1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hidden="1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hidden="1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hidden="1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hidden="1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hidden="1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hidden="1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hidden="1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hidden="1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hidden="1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hidden="1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hidden="1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hidden="1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hidden="1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hidden="1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hidden="1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hidden="1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hidden="1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hidden="1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hidden="1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hidden="1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hidden="1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hidden="1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hidden="1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hidden="1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hidden="1" x14ac:dyDescent="0.3">
      <c r="A263" t="s">
        <v>30</v>
      </c>
      <c r="B263">
        <v>2020</v>
      </c>
      <c r="C263" t="s">
        <v>38</v>
      </c>
      <c r="D263">
        <f>(D260+D266)/2</f>
        <v>147.69999999999999</v>
      </c>
      <c r="E263">
        <f>(E257+E266)/2</f>
        <v>178.55</v>
      </c>
      <c r="F263">
        <f t="shared" ref="F263:AD263" si="0">(F260+F266)/2</f>
        <v>148.15</v>
      </c>
      <c r="G263">
        <f t="shared" si="0"/>
        <v>154.44999999999999</v>
      </c>
      <c r="H263">
        <f t="shared" si="0"/>
        <v>137.64999999999998</v>
      </c>
      <c r="I263">
        <f t="shared" si="0"/>
        <v>145.25</v>
      </c>
      <c r="J263">
        <f t="shared" si="0"/>
        <v>155.80000000000001</v>
      </c>
      <c r="K263">
        <f t="shared" si="0"/>
        <v>150.25</v>
      </c>
      <c r="L263">
        <f t="shared" si="0"/>
        <v>116.5</v>
      </c>
      <c r="M263">
        <f t="shared" si="0"/>
        <v>159.25</v>
      </c>
      <c r="N263">
        <f t="shared" si="0"/>
        <v>140.64999999999998</v>
      </c>
      <c r="O263">
        <f>(O257+O266)/2</f>
        <v>160.9</v>
      </c>
      <c r="P263">
        <f t="shared" si="0"/>
        <v>151.19999999999999</v>
      </c>
      <c r="Q263">
        <f>(Q257+Q266)/2</f>
        <v>176.45</v>
      </c>
      <c r="R263">
        <f>(R257+R266)/2</f>
        <v>154.05000000000001</v>
      </c>
      <c r="S263">
        <f>(S257+S266)/2</f>
        <v>148.80000000000001</v>
      </c>
      <c r="T263">
        <f>(T257+T266)/2</f>
        <v>153.30000000000001</v>
      </c>
      <c r="V263">
        <f t="shared" si="0"/>
        <v>146.65</v>
      </c>
      <c r="W263" t="e">
        <f t="shared" si="0"/>
        <v>#VALUE!</v>
      </c>
      <c r="X263">
        <f t="shared" si="0"/>
        <v>156.25</v>
      </c>
      <c r="Y263" t="e">
        <f t="shared" si="0"/>
        <v>#VALUE!</v>
      </c>
      <c r="Z263" t="e">
        <f t="shared" si="0"/>
        <v>#VALUE!</v>
      </c>
      <c r="AA263" t="e">
        <f t="shared" si="0"/>
        <v>#VALUE!</v>
      </c>
      <c r="AB263" t="e">
        <f t="shared" si="0"/>
        <v>#VALUE!</v>
      </c>
      <c r="AC263" t="e">
        <f t="shared" si="0"/>
        <v>#VALUE!</v>
      </c>
      <c r="AD263" t="e">
        <f t="shared" si="0"/>
        <v>#VALUE!</v>
      </c>
    </row>
    <row r="264" spans="1:30" hidden="1" x14ac:dyDescent="0.3">
      <c r="A264" t="s">
        <v>33</v>
      </c>
      <c r="B264">
        <v>2020</v>
      </c>
      <c r="C264" t="s">
        <v>38</v>
      </c>
      <c r="D264">
        <f>(D261+D267)/2</f>
        <v>152.25</v>
      </c>
      <c r="E264" t="e">
        <f t="shared" ref="E264:AD264" si="1">(E261+E267)/2</f>
        <v>#VALUE!</v>
      </c>
      <c r="F264">
        <f t="shared" si="1"/>
        <v>153.25</v>
      </c>
      <c r="G264">
        <f t="shared" si="1"/>
        <v>154.44999999999999</v>
      </c>
      <c r="H264">
        <f t="shared" si="1"/>
        <v>132.25</v>
      </c>
      <c r="I264">
        <f t="shared" si="1"/>
        <v>152.35000000000002</v>
      </c>
      <c r="J264">
        <f t="shared" si="1"/>
        <v>175.6</v>
      </c>
      <c r="K264">
        <f t="shared" si="1"/>
        <v>151.4</v>
      </c>
      <c r="L264">
        <f t="shared" si="1"/>
        <v>118.75</v>
      </c>
      <c r="M264">
        <f t="shared" si="1"/>
        <v>156.4</v>
      </c>
      <c r="N264">
        <f t="shared" si="1"/>
        <v>134.55000000000001</v>
      </c>
      <c r="O264" t="e">
        <f t="shared" si="1"/>
        <v>#VALUE!</v>
      </c>
      <c r="P264">
        <f t="shared" si="1"/>
        <v>155.25</v>
      </c>
      <c r="Q264" t="e">
        <f t="shared" si="1"/>
        <v>#VALUE!</v>
      </c>
      <c r="R264" t="e">
        <f t="shared" si="1"/>
        <v>#VALUE!</v>
      </c>
      <c r="S264" t="e">
        <f t="shared" si="1"/>
        <v>#VALUE!</v>
      </c>
      <c r="T264" t="e">
        <f t="shared" si="1"/>
        <v>#VALUE!</v>
      </c>
      <c r="U264">
        <f t="shared" si="1"/>
        <v>155.14999999999998</v>
      </c>
      <c r="V264">
        <f t="shared" si="1"/>
        <v>137.1</v>
      </c>
      <c r="W264" t="e">
        <f t="shared" si="1"/>
        <v>#VALUE!</v>
      </c>
      <c r="X264">
        <f t="shared" si="1"/>
        <v>146.44999999999999</v>
      </c>
      <c r="Y264" t="e">
        <f t="shared" si="1"/>
        <v>#VALUE!</v>
      </c>
      <c r="Z264" t="e">
        <f t="shared" si="1"/>
        <v>#VALUE!</v>
      </c>
      <c r="AA264" t="e">
        <f t="shared" si="1"/>
        <v>#VALUE!</v>
      </c>
      <c r="AB264" t="e">
        <f t="shared" si="1"/>
        <v>#VALUE!</v>
      </c>
      <c r="AC264" t="e">
        <f t="shared" si="1"/>
        <v>#VALUE!</v>
      </c>
      <c r="AD264" t="e">
        <f t="shared" si="1"/>
        <v>#VALUE!</v>
      </c>
    </row>
    <row r="265" spans="1:30" hidden="1" x14ac:dyDescent="0.3">
      <c r="A265" t="s">
        <v>34</v>
      </c>
      <c r="B265">
        <v>2020</v>
      </c>
      <c r="C265" t="s">
        <v>38</v>
      </c>
      <c r="D265">
        <f>(D262+D268)/2</f>
        <v>149.14999999999998</v>
      </c>
      <c r="E265" t="e">
        <f t="shared" ref="E265:AD265" si="2">(E262+E268)/2</f>
        <v>#VALUE!</v>
      </c>
      <c r="F265">
        <f t="shared" si="2"/>
        <v>150.10000000000002</v>
      </c>
      <c r="G265">
        <f t="shared" si="2"/>
        <v>154.44999999999999</v>
      </c>
      <c r="H265">
        <f t="shared" si="2"/>
        <v>135.69999999999999</v>
      </c>
      <c r="I265">
        <f t="shared" si="2"/>
        <v>148.55000000000001</v>
      </c>
      <c r="J265">
        <f t="shared" si="2"/>
        <v>162.55000000000001</v>
      </c>
      <c r="K265">
        <f t="shared" si="2"/>
        <v>150.65</v>
      </c>
      <c r="L265">
        <f t="shared" si="2"/>
        <v>117.25</v>
      </c>
      <c r="M265">
        <f t="shared" si="2"/>
        <v>158.30000000000001</v>
      </c>
      <c r="N265">
        <f t="shared" si="2"/>
        <v>138.10000000000002</v>
      </c>
      <c r="O265" t="e">
        <f t="shared" si="2"/>
        <v>#VALUE!</v>
      </c>
      <c r="P265">
        <f t="shared" si="2"/>
        <v>152.69999999999999</v>
      </c>
      <c r="Q265" t="e">
        <f t="shared" si="2"/>
        <v>#VALUE!</v>
      </c>
      <c r="R265" t="e">
        <f t="shared" si="2"/>
        <v>#VALUE!</v>
      </c>
      <c r="S265" t="e">
        <f t="shared" si="2"/>
        <v>#VALUE!</v>
      </c>
      <c r="T265" t="e">
        <f t="shared" si="2"/>
        <v>#VALUE!</v>
      </c>
      <c r="U265">
        <f t="shared" si="2"/>
        <v>155.14999999999998</v>
      </c>
      <c r="V265">
        <f t="shared" si="2"/>
        <v>143</v>
      </c>
      <c r="W265" t="e">
        <f t="shared" si="2"/>
        <v>#VALUE!</v>
      </c>
      <c r="X265">
        <f t="shared" si="2"/>
        <v>152.55000000000001</v>
      </c>
      <c r="Y265" t="e">
        <f t="shared" si="2"/>
        <v>#VALUE!</v>
      </c>
      <c r="Z265" t="e">
        <f t="shared" si="2"/>
        <v>#VALUE!</v>
      </c>
      <c r="AA265" t="e">
        <f t="shared" si="2"/>
        <v>#VALUE!</v>
      </c>
      <c r="AB265" t="e">
        <f t="shared" si="2"/>
        <v>#VALUE!</v>
      </c>
      <c r="AC265" t="e">
        <f t="shared" si="2"/>
        <v>#VALUE!</v>
      </c>
      <c r="AD265" t="e">
        <f t="shared" si="2"/>
        <v>#VALUE!</v>
      </c>
    </row>
    <row r="266" spans="1:30" hidden="1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hidden="1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hidden="1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hidden="1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hidden="1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hidden="1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hidden="1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hidden="1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hidden="1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hidden="1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hidden="1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hidden="1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hidden="1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  <row r="383" spans="1:30" x14ac:dyDescent="0.3">
      <c r="D383" s="20"/>
    </row>
  </sheetData>
  <autoFilter ref="A1:AD373" xr:uid="{39DA2701-183E-4D87-88D4-6FE660C56FE1}">
    <filterColumn colId="0">
      <filters>
        <filter val="Rural+Urban"/>
      </filters>
    </filterColumn>
    <filterColumn colId="1">
      <filters>
        <filter val="2021"/>
        <filter val="202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F24C-75CF-4750-B2A0-DCA82979C01E}">
  <dimension ref="A3:AC190"/>
  <sheetViews>
    <sheetView showGridLines="0" tabSelected="1" topLeftCell="A118" zoomScale="70" zoomScaleNormal="70" workbookViewId="0">
      <selection activeCell="J175" sqref="J175"/>
    </sheetView>
  </sheetViews>
  <sheetFormatPr defaultRowHeight="14.4" x14ac:dyDescent="0.3"/>
  <cols>
    <col min="1" max="1" width="22.21875" bestFit="1" customWidth="1"/>
    <col min="2" max="2" width="31.33203125" bestFit="1" customWidth="1"/>
    <col min="3" max="3" width="20.44140625" customWidth="1"/>
    <col min="4" max="4" width="14.44140625" customWidth="1"/>
    <col min="5" max="5" width="6.6640625" bestFit="1" customWidth="1"/>
    <col min="6" max="6" width="18.109375" customWidth="1"/>
    <col min="7" max="7" width="13.109375" customWidth="1"/>
    <col min="8" max="8" width="7.44140625" customWidth="1"/>
    <col min="9" max="9" width="12.109375" customWidth="1"/>
    <col min="10" max="10" width="19.6640625" customWidth="1"/>
    <col min="11" max="11" width="23.6640625" customWidth="1"/>
    <col min="12" max="12" width="8.109375" customWidth="1"/>
    <col min="13" max="13" width="23.5546875" customWidth="1"/>
    <col min="14" max="14" width="32.6640625" customWidth="1"/>
    <col min="15" max="15" width="19.77734375" customWidth="1"/>
    <col min="16" max="16" width="27.109375" customWidth="1"/>
    <col min="17" max="17" width="9.88671875" customWidth="1"/>
    <col min="18" max="18" width="10.77734375" customWidth="1"/>
    <col min="19" max="19" width="21.6640625" customWidth="1"/>
    <col min="20" max="20" width="14.109375" customWidth="1"/>
    <col min="21" max="22" width="28.109375" customWidth="1"/>
    <col min="23" max="24" width="28.33203125" customWidth="1"/>
    <col min="25" max="25" width="26" customWidth="1"/>
    <col min="26" max="27" width="23.88671875" customWidth="1"/>
    <col min="28" max="28" width="14.77734375" customWidth="1"/>
    <col min="29" max="29" width="14.33203125" customWidth="1"/>
  </cols>
  <sheetData>
    <row r="3" spans="1:28" x14ac:dyDescent="0.3">
      <c r="T3" s="33"/>
    </row>
    <row r="4" spans="1:28" ht="25.8" x14ac:dyDescent="0.5">
      <c r="A4" s="52" t="s">
        <v>30</v>
      </c>
      <c r="C4" s="46">
        <f t="shared" ref="C4:AB4" si="0">CORREL($B$7:$B$30,C7:C30)</f>
        <v>0.50454041340920452</v>
      </c>
      <c r="D4" s="46">
        <f t="shared" si="0"/>
        <v>0.83352109944434605</v>
      </c>
      <c r="E4" s="46">
        <f t="shared" si="0"/>
        <v>-0.19207235941776168</v>
      </c>
      <c r="F4" s="46">
        <f t="shared" si="0"/>
        <v>0.6340052374889823</v>
      </c>
      <c r="G4" s="46">
        <f t="shared" si="0"/>
        <v>0.82628872856454783</v>
      </c>
      <c r="H4" s="46">
        <f t="shared" si="0"/>
        <v>0.65128163178040821</v>
      </c>
      <c r="I4" s="46">
        <f t="shared" si="0"/>
        <v>0.27068870012139146</v>
      </c>
      <c r="J4" s="46">
        <f t="shared" si="0"/>
        <v>0.45230739807610421</v>
      </c>
      <c r="K4" s="46">
        <f t="shared" si="0"/>
        <v>0.57811683085801635</v>
      </c>
      <c r="L4" s="46">
        <f t="shared" si="0"/>
        <v>0.59421077049435145</v>
      </c>
      <c r="M4" s="46">
        <f t="shared" si="0"/>
        <v>0.77277143172658247</v>
      </c>
      <c r="N4" s="46">
        <f t="shared" si="0"/>
        <v>0.72397422967409464</v>
      </c>
      <c r="O4" s="46">
        <f t="shared" si="0"/>
        <v>0.70435771982748996</v>
      </c>
      <c r="P4" s="46">
        <f t="shared" si="0"/>
        <v>0.71743721127956239</v>
      </c>
      <c r="Q4" s="46">
        <f t="shared" si="0"/>
        <v>0.7379643460114349</v>
      </c>
      <c r="R4" s="46">
        <f t="shared" si="0"/>
        <v>0.75701257305293457</v>
      </c>
      <c r="S4" s="46">
        <f t="shared" si="0"/>
        <v>0.74085413947798273</v>
      </c>
      <c r="T4" s="46">
        <f t="shared" si="0"/>
        <v>0.7414609762756631</v>
      </c>
      <c r="U4" s="46">
        <f t="shared" si="0"/>
        <v>0.72142310141555366</v>
      </c>
      <c r="V4" s="46">
        <f t="shared" si="0"/>
        <v>0.74410353263817419</v>
      </c>
      <c r="W4" s="46">
        <f t="shared" si="0"/>
        <v>0.81375235971738413</v>
      </c>
      <c r="X4" s="46">
        <f t="shared" si="0"/>
        <v>0.77332867946311279</v>
      </c>
      <c r="Y4" s="46">
        <f t="shared" si="0"/>
        <v>0.66866872667437949</v>
      </c>
      <c r="Z4" s="46">
        <f t="shared" si="0"/>
        <v>0.74241589021232013</v>
      </c>
      <c r="AA4" s="46">
        <f t="shared" si="0"/>
        <v>0.76308725993468152</v>
      </c>
      <c r="AB4" s="46">
        <f t="shared" si="0"/>
        <v>0.73352064606393874</v>
      </c>
    </row>
    <row r="5" spans="1:28" x14ac:dyDescent="0.3">
      <c r="T5" s="33"/>
    </row>
    <row r="6" spans="1:28" x14ac:dyDescent="0.3">
      <c r="A6" s="22" t="s">
        <v>97</v>
      </c>
      <c r="B6" s="22" t="s">
        <v>96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</row>
    <row r="7" spans="1:28" x14ac:dyDescent="0.3">
      <c r="A7" s="42">
        <v>44197</v>
      </c>
      <c r="B7" s="43">
        <v>54.794569624999994</v>
      </c>
      <c r="C7">
        <v>143.4</v>
      </c>
      <c r="D7">
        <v>187.5</v>
      </c>
      <c r="E7">
        <v>173.4</v>
      </c>
      <c r="F7">
        <v>154</v>
      </c>
      <c r="G7">
        <v>154.80000000000001</v>
      </c>
      <c r="H7">
        <v>147</v>
      </c>
      <c r="I7">
        <v>187.8</v>
      </c>
      <c r="J7">
        <v>159.5</v>
      </c>
      <c r="K7">
        <v>113.8</v>
      </c>
      <c r="L7">
        <v>164.5</v>
      </c>
      <c r="M7">
        <v>156.1</v>
      </c>
      <c r="N7">
        <v>164.3</v>
      </c>
      <c r="O7">
        <v>159.6</v>
      </c>
      <c r="P7">
        <v>184.6</v>
      </c>
      <c r="Q7">
        <v>157.5</v>
      </c>
      <c r="R7">
        <v>152.4</v>
      </c>
      <c r="S7">
        <v>156.80000000000001</v>
      </c>
      <c r="T7">
        <v>150.9</v>
      </c>
      <c r="U7">
        <v>153.9</v>
      </c>
      <c r="V7">
        <v>162.5</v>
      </c>
      <c r="W7">
        <v>147.5</v>
      </c>
      <c r="X7">
        <v>155.1</v>
      </c>
      <c r="Y7">
        <v>163.5</v>
      </c>
      <c r="Z7">
        <v>156.19999999999999</v>
      </c>
      <c r="AA7">
        <v>155.9</v>
      </c>
      <c r="AB7">
        <v>158.5</v>
      </c>
    </row>
    <row r="8" spans="1:28" x14ac:dyDescent="0.3">
      <c r="A8" s="42">
        <v>44228</v>
      </c>
      <c r="B8" s="43">
        <v>61.216117289473672</v>
      </c>
      <c r="C8">
        <v>142.80000000000001</v>
      </c>
      <c r="D8">
        <v>184</v>
      </c>
      <c r="E8">
        <v>168</v>
      </c>
      <c r="F8">
        <v>154.4</v>
      </c>
      <c r="G8">
        <v>163</v>
      </c>
      <c r="H8">
        <v>147.80000000000001</v>
      </c>
      <c r="I8">
        <v>149.69999999999999</v>
      </c>
      <c r="J8">
        <v>158.30000000000001</v>
      </c>
      <c r="K8">
        <v>111.8</v>
      </c>
      <c r="L8">
        <v>165</v>
      </c>
      <c r="M8">
        <v>160</v>
      </c>
      <c r="N8">
        <v>165.8</v>
      </c>
      <c r="O8">
        <v>154.69999999999999</v>
      </c>
      <c r="P8">
        <v>186.5</v>
      </c>
      <c r="Q8">
        <v>159.1</v>
      </c>
      <c r="R8">
        <v>153.9</v>
      </c>
      <c r="S8">
        <v>158.4</v>
      </c>
      <c r="T8">
        <v>154.4</v>
      </c>
      <c r="U8">
        <v>154.80000000000001</v>
      </c>
      <c r="V8">
        <v>164.3</v>
      </c>
      <c r="W8">
        <v>150.19999999999999</v>
      </c>
      <c r="X8">
        <v>157</v>
      </c>
      <c r="Y8">
        <v>163.6</v>
      </c>
      <c r="Z8">
        <v>155.19999999999999</v>
      </c>
      <c r="AA8">
        <v>157.19999999999999</v>
      </c>
      <c r="AB8">
        <v>156.69999999999999</v>
      </c>
    </row>
    <row r="9" spans="1:28" x14ac:dyDescent="0.3">
      <c r="A9" s="42">
        <v>44256</v>
      </c>
      <c r="B9" s="43">
        <v>64.729496782608663</v>
      </c>
      <c r="C9">
        <v>142.5</v>
      </c>
      <c r="D9">
        <v>189.4</v>
      </c>
      <c r="E9">
        <v>163.19999999999999</v>
      </c>
      <c r="F9">
        <v>154.5</v>
      </c>
      <c r="G9">
        <v>168.2</v>
      </c>
      <c r="H9">
        <v>150.5</v>
      </c>
      <c r="I9">
        <v>141</v>
      </c>
      <c r="J9">
        <v>159.19999999999999</v>
      </c>
      <c r="K9">
        <v>111.7</v>
      </c>
      <c r="L9">
        <v>164</v>
      </c>
      <c r="M9">
        <v>160.6</v>
      </c>
      <c r="N9">
        <v>166.4</v>
      </c>
      <c r="O9">
        <v>154.5</v>
      </c>
      <c r="P9">
        <v>186.1</v>
      </c>
      <c r="Q9">
        <v>159.6</v>
      </c>
      <c r="R9">
        <v>154.4</v>
      </c>
      <c r="S9">
        <v>158.9</v>
      </c>
      <c r="T9">
        <v>156</v>
      </c>
      <c r="U9">
        <v>154.80000000000001</v>
      </c>
      <c r="V9">
        <v>164.6</v>
      </c>
      <c r="W9">
        <v>151.30000000000001</v>
      </c>
      <c r="X9">
        <v>157.80000000000001</v>
      </c>
      <c r="Y9">
        <v>163.80000000000001</v>
      </c>
      <c r="Z9">
        <v>153.1</v>
      </c>
      <c r="AA9">
        <v>157.30000000000001</v>
      </c>
      <c r="AB9">
        <v>156.69999999999999</v>
      </c>
    </row>
    <row r="10" spans="1:28" x14ac:dyDescent="0.3">
      <c r="A10" s="42">
        <v>44287</v>
      </c>
      <c r="B10" s="43">
        <v>63.396976500000008</v>
      </c>
      <c r="C10">
        <v>142.69999999999999</v>
      </c>
      <c r="D10">
        <v>195.5</v>
      </c>
      <c r="E10">
        <v>163.4</v>
      </c>
      <c r="F10">
        <v>155</v>
      </c>
      <c r="G10">
        <v>175.2</v>
      </c>
      <c r="H10">
        <v>160.6</v>
      </c>
      <c r="I10">
        <v>135.1</v>
      </c>
      <c r="J10">
        <v>161.1</v>
      </c>
      <c r="K10">
        <v>112.2</v>
      </c>
      <c r="L10">
        <v>164.4</v>
      </c>
      <c r="M10">
        <v>161.9</v>
      </c>
      <c r="N10">
        <v>166.8</v>
      </c>
      <c r="O10">
        <v>155.6</v>
      </c>
      <c r="P10">
        <v>186.8</v>
      </c>
      <c r="Q10">
        <v>160.69999999999999</v>
      </c>
      <c r="R10">
        <v>155.1</v>
      </c>
      <c r="S10">
        <v>159.9</v>
      </c>
      <c r="T10">
        <v>156</v>
      </c>
      <c r="U10">
        <v>155.5</v>
      </c>
      <c r="V10">
        <v>165.3</v>
      </c>
      <c r="W10">
        <v>151.69999999999999</v>
      </c>
      <c r="X10">
        <v>158.6</v>
      </c>
      <c r="Y10">
        <v>164.1</v>
      </c>
      <c r="Z10">
        <v>154.6</v>
      </c>
      <c r="AA10">
        <v>158</v>
      </c>
      <c r="AB10">
        <v>157.6</v>
      </c>
    </row>
    <row r="11" spans="1:28" x14ac:dyDescent="0.3">
      <c r="A11" s="42">
        <v>44317</v>
      </c>
      <c r="B11" s="43">
        <v>66.953084852941174</v>
      </c>
      <c r="C11">
        <v>145.1</v>
      </c>
      <c r="D11">
        <v>198.5</v>
      </c>
      <c r="E11">
        <v>168.6</v>
      </c>
      <c r="F11">
        <v>155.80000000000001</v>
      </c>
      <c r="G11">
        <v>184.4</v>
      </c>
      <c r="H11">
        <v>162.30000000000001</v>
      </c>
      <c r="I11">
        <v>138.4</v>
      </c>
      <c r="J11">
        <v>165.1</v>
      </c>
      <c r="K11">
        <v>114.3</v>
      </c>
      <c r="L11">
        <v>169.7</v>
      </c>
      <c r="M11">
        <v>164.6</v>
      </c>
      <c r="N11">
        <v>169.8</v>
      </c>
      <c r="O11">
        <v>158.69999999999999</v>
      </c>
      <c r="P11">
        <v>189.6</v>
      </c>
      <c r="Q11">
        <v>165.3</v>
      </c>
      <c r="R11">
        <v>160.6</v>
      </c>
      <c r="S11">
        <v>164.5</v>
      </c>
      <c r="T11">
        <v>161.69999999999999</v>
      </c>
      <c r="U11">
        <v>158.80000000000001</v>
      </c>
      <c r="V11">
        <v>169.1</v>
      </c>
      <c r="W11">
        <v>153.19999999999999</v>
      </c>
      <c r="X11">
        <v>160</v>
      </c>
      <c r="Y11">
        <v>167.6</v>
      </c>
      <c r="Z11">
        <v>159.30000000000001</v>
      </c>
      <c r="AA11">
        <v>161.1</v>
      </c>
      <c r="AB11">
        <v>161.1</v>
      </c>
    </row>
    <row r="12" spans="1:28" x14ac:dyDescent="0.3">
      <c r="A12" s="42">
        <v>44348</v>
      </c>
      <c r="B12" s="43">
        <v>71.982647477272721</v>
      </c>
      <c r="C12">
        <v>145.6</v>
      </c>
      <c r="D12">
        <v>200.1</v>
      </c>
      <c r="E12">
        <v>179.3</v>
      </c>
      <c r="F12">
        <v>156.1</v>
      </c>
      <c r="G12">
        <v>190.4</v>
      </c>
      <c r="H12">
        <v>158.6</v>
      </c>
      <c r="I12">
        <v>144.69999999999999</v>
      </c>
      <c r="J12">
        <v>165.5</v>
      </c>
      <c r="K12">
        <v>114.6</v>
      </c>
      <c r="L12">
        <v>170</v>
      </c>
      <c r="M12">
        <v>165.5</v>
      </c>
      <c r="N12">
        <v>171.7</v>
      </c>
      <c r="O12">
        <v>160.5</v>
      </c>
      <c r="P12">
        <v>189.1</v>
      </c>
      <c r="Q12">
        <v>165.3</v>
      </c>
      <c r="R12">
        <v>159.9</v>
      </c>
      <c r="S12">
        <v>164.6</v>
      </c>
      <c r="T12">
        <v>162.1</v>
      </c>
      <c r="U12">
        <v>159.19999999999999</v>
      </c>
      <c r="V12">
        <v>169.7</v>
      </c>
      <c r="W12">
        <v>154.19999999999999</v>
      </c>
      <c r="X12">
        <v>160.4</v>
      </c>
      <c r="Y12">
        <v>166.8</v>
      </c>
      <c r="Z12">
        <v>159.4</v>
      </c>
      <c r="AA12">
        <v>161.5</v>
      </c>
      <c r="AB12">
        <v>162.1</v>
      </c>
    </row>
    <row r="13" spans="1:28" x14ac:dyDescent="0.3">
      <c r="A13" s="42">
        <v>44378</v>
      </c>
      <c r="B13" s="43">
        <v>73.539060523809511</v>
      </c>
      <c r="C13">
        <v>145.1</v>
      </c>
      <c r="D13">
        <v>204.5</v>
      </c>
      <c r="E13">
        <v>180.4</v>
      </c>
      <c r="F13">
        <v>157.1</v>
      </c>
      <c r="G13">
        <v>188.7</v>
      </c>
      <c r="H13">
        <v>157.69999999999999</v>
      </c>
      <c r="I13">
        <v>152.80000000000001</v>
      </c>
      <c r="J13">
        <v>163.6</v>
      </c>
      <c r="K13">
        <v>113.9</v>
      </c>
      <c r="L13">
        <v>169.7</v>
      </c>
      <c r="M13">
        <v>166.2</v>
      </c>
      <c r="N13">
        <v>171</v>
      </c>
      <c r="O13">
        <v>161.69999999999999</v>
      </c>
      <c r="P13">
        <v>189.7</v>
      </c>
      <c r="Q13">
        <v>166</v>
      </c>
      <c r="R13">
        <v>161.1</v>
      </c>
      <c r="S13">
        <v>165.3</v>
      </c>
      <c r="T13">
        <v>162.5</v>
      </c>
      <c r="U13">
        <v>160.30000000000001</v>
      </c>
      <c r="V13">
        <v>170.4</v>
      </c>
      <c r="W13">
        <v>157.1</v>
      </c>
      <c r="X13">
        <v>160.69999999999999</v>
      </c>
      <c r="Y13">
        <v>167.2</v>
      </c>
      <c r="Z13">
        <v>160.4</v>
      </c>
      <c r="AA13">
        <v>162.80000000000001</v>
      </c>
      <c r="AB13">
        <v>163.19999999999999</v>
      </c>
    </row>
    <row r="14" spans="1:28" x14ac:dyDescent="0.3">
      <c r="A14" s="42">
        <v>44409</v>
      </c>
      <c r="B14" s="43">
        <v>69.804724424999989</v>
      </c>
      <c r="C14">
        <v>144.9</v>
      </c>
      <c r="D14">
        <v>202.3</v>
      </c>
      <c r="E14">
        <v>176.5</v>
      </c>
      <c r="F14">
        <v>157.5</v>
      </c>
      <c r="G14">
        <v>190.9</v>
      </c>
      <c r="H14">
        <v>155.69999999999999</v>
      </c>
      <c r="I14">
        <v>153.9</v>
      </c>
      <c r="J14">
        <v>162.80000000000001</v>
      </c>
      <c r="K14">
        <v>115.2</v>
      </c>
      <c r="L14">
        <v>169.8</v>
      </c>
      <c r="M14">
        <v>167.6</v>
      </c>
      <c r="N14">
        <v>171.9</v>
      </c>
      <c r="O14">
        <v>161.80000000000001</v>
      </c>
      <c r="P14">
        <v>190.2</v>
      </c>
      <c r="Q14">
        <v>167</v>
      </c>
      <c r="R14">
        <v>162.6</v>
      </c>
      <c r="S14">
        <v>166.3</v>
      </c>
      <c r="T14">
        <v>163.1</v>
      </c>
      <c r="U14">
        <v>160.9</v>
      </c>
      <c r="V14">
        <v>171.1</v>
      </c>
      <c r="W14">
        <v>157.69999999999999</v>
      </c>
      <c r="X14">
        <v>161.1</v>
      </c>
      <c r="Y14">
        <v>167.5</v>
      </c>
      <c r="Z14">
        <v>160.30000000000001</v>
      </c>
      <c r="AA14">
        <v>163.30000000000001</v>
      </c>
      <c r="AB14">
        <v>163.6</v>
      </c>
    </row>
    <row r="15" spans="1:28" x14ac:dyDescent="0.3">
      <c r="A15" s="42">
        <v>44440</v>
      </c>
      <c r="B15" s="43">
        <v>73.130738295454549</v>
      </c>
      <c r="C15">
        <v>145.4</v>
      </c>
      <c r="D15">
        <v>202.1</v>
      </c>
      <c r="E15">
        <v>172</v>
      </c>
      <c r="F15">
        <v>158</v>
      </c>
      <c r="G15">
        <v>195.5</v>
      </c>
      <c r="H15">
        <v>152.69999999999999</v>
      </c>
      <c r="I15">
        <v>151.4</v>
      </c>
      <c r="J15">
        <v>163.9</v>
      </c>
      <c r="K15">
        <v>119.3</v>
      </c>
      <c r="L15">
        <v>170.1</v>
      </c>
      <c r="M15">
        <v>168.3</v>
      </c>
      <c r="N15">
        <v>172.8</v>
      </c>
      <c r="O15">
        <v>162.1</v>
      </c>
      <c r="P15">
        <v>190.5</v>
      </c>
      <c r="Q15">
        <v>167.7</v>
      </c>
      <c r="R15">
        <v>163.6</v>
      </c>
      <c r="S15">
        <v>167.1</v>
      </c>
      <c r="T15">
        <v>163.69999999999999</v>
      </c>
      <c r="U15">
        <v>161.30000000000001</v>
      </c>
      <c r="V15">
        <v>171.9</v>
      </c>
      <c r="W15">
        <v>157.80000000000001</v>
      </c>
      <c r="X15">
        <v>162.69999999999999</v>
      </c>
      <c r="Y15">
        <v>168.5</v>
      </c>
      <c r="Z15">
        <v>160.19999999999999</v>
      </c>
      <c r="AA15">
        <v>163.80000000000001</v>
      </c>
      <c r="AB15">
        <v>164</v>
      </c>
    </row>
    <row r="16" spans="1:28" x14ac:dyDescent="0.3">
      <c r="A16" s="42">
        <v>44470</v>
      </c>
      <c r="B16" s="43">
        <v>82.107393785714294</v>
      </c>
      <c r="C16">
        <v>146.1</v>
      </c>
      <c r="D16">
        <v>202.5</v>
      </c>
      <c r="E16">
        <v>170.1</v>
      </c>
      <c r="F16">
        <v>158.4</v>
      </c>
      <c r="G16">
        <v>198.8</v>
      </c>
      <c r="H16">
        <v>152.6</v>
      </c>
      <c r="I16">
        <v>170.4</v>
      </c>
      <c r="J16">
        <v>165.2</v>
      </c>
      <c r="K16">
        <v>121.6</v>
      </c>
      <c r="L16">
        <v>170.6</v>
      </c>
      <c r="M16">
        <v>168.8</v>
      </c>
      <c r="N16">
        <v>173.6</v>
      </c>
      <c r="O16">
        <v>165.5</v>
      </c>
      <c r="P16">
        <v>191.2</v>
      </c>
      <c r="Q16">
        <v>168.9</v>
      </c>
      <c r="R16">
        <v>164.8</v>
      </c>
      <c r="S16">
        <v>168.3</v>
      </c>
      <c r="T16">
        <v>165.5</v>
      </c>
      <c r="U16">
        <v>162</v>
      </c>
      <c r="V16">
        <v>172.5</v>
      </c>
      <c r="W16">
        <v>159.5</v>
      </c>
      <c r="X16">
        <v>163.19999999999999</v>
      </c>
      <c r="Y16">
        <v>169</v>
      </c>
      <c r="Z16">
        <v>161.1</v>
      </c>
      <c r="AA16">
        <v>164.7</v>
      </c>
      <c r="AB16">
        <v>166.3</v>
      </c>
    </row>
    <row r="17" spans="1:28" x14ac:dyDescent="0.3">
      <c r="A17" s="42">
        <v>44501</v>
      </c>
      <c r="B17" s="43">
        <v>80.637301023809528</v>
      </c>
      <c r="C17">
        <v>146.9</v>
      </c>
      <c r="D17">
        <v>199.8</v>
      </c>
      <c r="E17">
        <v>171.5</v>
      </c>
      <c r="F17">
        <v>159.1</v>
      </c>
      <c r="G17">
        <v>198.4</v>
      </c>
      <c r="H17">
        <v>153.19999999999999</v>
      </c>
      <c r="I17">
        <v>183.9</v>
      </c>
      <c r="J17">
        <v>165.4</v>
      </c>
      <c r="K17">
        <v>122.1</v>
      </c>
      <c r="L17">
        <v>170.8</v>
      </c>
      <c r="M17">
        <v>169.1</v>
      </c>
      <c r="N17">
        <v>174.3</v>
      </c>
      <c r="O17">
        <v>167.5</v>
      </c>
      <c r="P17">
        <v>191.4</v>
      </c>
      <c r="Q17">
        <v>170.4</v>
      </c>
      <c r="R17">
        <v>166</v>
      </c>
      <c r="S17">
        <v>169.8</v>
      </c>
      <c r="T17">
        <v>165.3</v>
      </c>
      <c r="U17">
        <v>162.9</v>
      </c>
      <c r="V17">
        <v>173.4</v>
      </c>
      <c r="W17">
        <v>158.9</v>
      </c>
      <c r="X17">
        <v>163.80000000000001</v>
      </c>
      <c r="Y17">
        <v>169.3</v>
      </c>
      <c r="Z17">
        <v>162.4</v>
      </c>
      <c r="AA17">
        <v>165.2</v>
      </c>
      <c r="AB17">
        <v>167.6</v>
      </c>
    </row>
    <row r="18" spans="1:28" x14ac:dyDescent="0.3">
      <c r="A18" s="42">
        <v>44531</v>
      </c>
      <c r="B18" s="43">
        <v>73.298823523809531</v>
      </c>
      <c r="C18">
        <v>147.4</v>
      </c>
      <c r="D18">
        <v>197</v>
      </c>
      <c r="E18">
        <v>176.5</v>
      </c>
      <c r="F18">
        <v>159.80000000000001</v>
      </c>
      <c r="G18">
        <v>195.8</v>
      </c>
      <c r="H18">
        <v>152</v>
      </c>
      <c r="I18">
        <v>172.3</v>
      </c>
      <c r="J18">
        <v>164.5</v>
      </c>
      <c r="K18">
        <v>120.6</v>
      </c>
      <c r="L18">
        <v>171.7</v>
      </c>
      <c r="M18">
        <v>169.7</v>
      </c>
      <c r="N18">
        <v>175.1</v>
      </c>
      <c r="O18">
        <v>165.8</v>
      </c>
      <c r="P18">
        <v>190.8</v>
      </c>
      <c r="Q18">
        <v>171.8</v>
      </c>
      <c r="R18">
        <v>167.3</v>
      </c>
      <c r="S18">
        <v>171.2</v>
      </c>
      <c r="T18">
        <v>165.6</v>
      </c>
      <c r="U18">
        <v>163.9</v>
      </c>
      <c r="V18">
        <v>174</v>
      </c>
      <c r="W18">
        <v>160.1</v>
      </c>
      <c r="X18">
        <v>164.5</v>
      </c>
      <c r="Y18">
        <v>169.7</v>
      </c>
      <c r="Z18">
        <v>162.80000000000001</v>
      </c>
      <c r="AA18">
        <v>166</v>
      </c>
      <c r="AB18">
        <v>167</v>
      </c>
    </row>
    <row r="19" spans="1:28" x14ac:dyDescent="0.3">
      <c r="A19" s="42">
        <v>44562</v>
      </c>
      <c r="B19" s="43">
        <v>84.666318799999985</v>
      </c>
      <c r="C19">
        <v>148.30000000000001</v>
      </c>
      <c r="D19">
        <v>196.9</v>
      </c>
      <c r="E19">
        <v>178</v>
      </c>
      <c r="F19">
        <v>160.5</v>
      </c>
      <c r="G19">
        <v>192.6</v>
      </c>
      <c r="H19">
        <v>151.19999999999999</v>
      </c>
      <c r="I19">
        <v>159.19999999999999</v>
      </c>
      <c r="J19">
        <v>164</v>
      </c>
      <c r="K19">
        <v>119.3</v>
      </c>
      <c r="L19">
        <v>173.3</v>
      </c>
      <c r="M19">
        <v>169.8</v>
      </c>
      <c r="N19">
        <v>175.8</v>
      </c>
      <c r="O19">
        <v>164.1</v>
      </c>
      <c r="P19">
        <v>190.7</v>
      </c>
      <c r="Q19">
        <v>173.2</v>
      </c>
      <c r="R19">
        <v>169.3</v>
      </c>
      <c r="S19">
        <v>172.7</v>
      </c>
      <c r="T19">
        <v>165.8</v>
      </c>
      <c r="U19">
        <v>164.9</v>
      </c>
      <c r="V19">
        <v>174.7</v>
      </c>
      <c r="W19">
        <v>160.80000000000001</v>
      </c>
      <c r="X19">
        <v>164.9</v>
      </c>
      <c r="Y19">
        <v>169.9</v>
      </c>
      <c r="Z19">
        <v>163.19999999999999</v>
      </c>
      <c r="AA19">
        <v>166.6</v>
      </c>
      <c r="AB19">
        <v>166.4</v>
      </c>
    </row>
    <row r="20" spans="1:28" x14ac:dyDescent="0.3">
      <c r="A20" s="42">
        <v>44593</v>
      </c>
      <c r="B20" s="43">
        <v>94.067715194444446</v>
      </c>
      <c r="C20">
        <v>148.80000000000001</v>
      </c>
      <c r="D20">
        <v>198.1</v>
      </c>
      <c r="E20">
        <v>175.5</v>
      </c>
      <c r="F20">
        <v>160.69999999999999</v>
      </c>
      <c r="G20">
        <v>192.6</v>
      </c>
      <c r="H20">
        <v>151.4</v>
      </c>
      <c r="I20">
        <v>155.19999999999999</v>
      </c>
      <c r="J20">
        <v>163.9</v>
      </c>
      <c r="K20">
        <v>118.1</v>
      </c>
      <c r="L20">
        <v>175.4</v>
      </c>
      <c r="M20">
        <v>170.5</v>
      </c>
      <c r="N20">
        <v>176.3</v>
      </c>
      <c r="O20">
        <v>163.9</v>
      </c>
      <c r="P20">
        <v>191.5</v>
      </c>
      <c r="Q20">
        <v>174.1</v>
      </c>
      <c r="R20">
        <v>171</v>
      </c>
      <c r="S20">
        <v>173.7</v>
      </c>
      <c r="T20">
        <v>167.4</v>
      </c>
      <c r="U20">
        <v>165.7</v>
      </c>
      <c r="V20">
        <v>175.3</v>
      </c>
      <c r="W20">
        <v>161.19999999999999</v>
      </c>
      <c r="X20">
        <v>165.5</v>
      </c>
      <c r="Y20">
        <v>170.3</v>
      </c>
      <c r="Z20">
        <v>164.5</v>
      </c>
      <c r="AA20">
        <v>167.3</v>
      </c>
      <c r="AB20">
        <v>166.7</v>
      </c>
    </row>
    <row r="21" spans="1:28" x14ac:dyDescent="0.3">
      <c r="A21" s="42">
        <v>44621</v>
      </c>
      <c r="B21" s="43">
        <v>112.87479254347826</v>
      </c>
      <c r="C21">
        <v>150.19999999999999</v>
      </c>
      <c r="D21">
        <v>208</v>
      </c>
      <c r="E21">
        <v>167.9</v>
      </c>
      <c r="F21">
        <v>162</v>
      </c>
      <c r="G21">
        <v>203.1</v>
      </c>
      <c r="H21">
        <v>155.9</v>
      </c>
      <c r="I21">
        <v>155.80000000000001</v>
      </c>
      <c r="J21">
        <v>164.2</v>
      </c>
      <c r="K21">
        <v>118.1</v>
      </c>
      <c r="L21">
        <v>178.7</v>
      </c>
      <c r="M21">
        <v>171.2</v>
      </c>
      <c r="N21">
        <v>177.4</v>
      </c>
      <c r="O21">
        <v>166.6</v>
      </c>
      <c r="P21">
        <v>192.3</v>
      </c>
      <c r="Q21">
        <v>175.4</v>
      </c>
      <c r="R21">
        <v>173.2</v>
      </c>
      <c r="S21">
        <v>175.1</v>
      </c>
      <c r="T21">
        <v>168.9</v>
      </c>
      <c r="U21">
        <v>166.5</v>
      </c>
      <c r="V21">
        <v>176</v>
      </c>
      <c r="W21">
        <v>162</v>
      </c>
      <c r="X21">
        <v>166.6</v>
      </c>
      <c r="Y21">
        <v>170.6</v>
      </c>
      <c r="Z21">
        <v>167.4</v>
      </c>
      <c r="AA21">
        <v>168.3</v>
      </c>
      <c r="AB21">
        <v>168.7</v>
      </c>
    </row>
    <row r="22" spans="1:28" x14ac:dyDescent="0.3">
      <c r="A22" s="42">
        <v>44652</v>
      </c>
      <c r="B22" s="43">
        <v>102.96599786842103</v>
      </c>
      <c r="C22">
        <v>151.80000000000001</v>
      </c>
      <c r="D22">
        <v>209.7</v>
      </c>
      <c r="E22">
        <v>164.5</v>
      </c>
      <c r="F22">
        <v>163.80000000000001</v>
      </c>
      <c r="G22">
        <v>207.4</v>
      </c>
      <c r="H22">
        <v>169.7</v>
      </c>
      <c r="I22">
        <v>153.6</v>
      </c>
      <c r="J22">
        <v>165.1</v>
      </c>
      <c r="K22">
        <v>118.2</v>
      </c>
      <c r="L22">
        <v>182.9</v>
      </c>
      <c r="M22">
        <v>172.4</v>
      </c>
      <c r="N22">
        <v>178.9</v>
      </c>
      <c r="O22">
        <v>168.6</v>
      </c>
      <c r="P22">
        <v>192.8</v>
      </c>
      <c r="Q22">
        <v>177.5</v>
      </c>
      <c r="R22">
        <v>175.1</v>
      </c>
      <c r="S22">
        <v>177.1</v>
      </c>
      <c r="T22">
        <v>173.3</v>
      </c>
      <c r="U22">
        <v>167.7</v>
      </c>
      <c r="V22">
        <v>177</v>
      </c>
      <c r="W22">
        <v>166.2</v>
      </c>
      <c r="X22">
        <v>167.2</v>
      </c>
      <c r="Y22">
        <v>170.9</v>
      </c>
      <c r="Z22">
        <v>169</v>
      </c>
      <c r="AA22">
        <v>170.2</v>
      </c>
      <c r="AB22">
        <v>170.8</v>
      </c>
    </row>
    <row r="23" spans="1:28" x14ac:dyDescent="0.3">
      <c r="A23" s="42">
        <v>44682</v>
      </c>
      <c r="B23" s="43">
        <v>109.50503773684208</v>
      </c>
      <c r="C23">
        <v>152.9</v>
      </c>
      <c r="D23">
        <v>214.7</v>
      </c>
      <c r="E23">
        <v>161.4</v>
      </c>
      <c r="F23">
        <v>164.6</v>
      </c>
      <c r="G23">
        <v>209.9</v>
      </c>
      <c r="H23">
        <v>168</v>
      </c>
      <c r="I23">
        <v>160.4</v>
      </c>
      <c r="J23">
        <v>165</v>
      </c>
      <c r="K23">
        <v>118.9</v>
      </c>
      <c r="L23">
        <v>186.6</v>
      </c>
      <c r="M23">
        <v>173.2</v>
      </c>
      <c r="N23">
        <v>180.4</v>
      </c>
      <c r="O23">
        <v>170.8</v>
      </c>
      <c r="P23">
        <v>192.9</v>
      </c>
      <c r="Q23">
        <v>179.3</v>
      </c>
      <c r="R23">
        <v>177.2</v>
      </c>
      <c r="S23">
        <v>179</v>
      </c>
      <c r="T23">
        <v>175.3</v>
      </c>
      <c r="U23">
        <v>168.9</v>
      </c>
      <c r="V23">
        <v>177.7</v>
      </c>
      <c r="W23">
        <v>167.1</v>
      </c>
      <c r="X23">
        <v>167.6</v>
      </c>
      <c r="Y23">
        <v>171.8</v>
      </c>
      <c r="Z23">
        <v>168.5</v>
      </c>
      <c r="AA23">
        <v>170.9</v>
      </c>
      <c r="AB23">
        <v>172.5</v>
      </c>
    </row>
    <row r="24" spans="1:28" x14ac:dyDescent="0.3">
      <c r="A24" s="42">
        <v>44713</v>
      </c>
      <c r="B24" s="43">
        <v>116.01138504999999</v>
      </c>
      <c r="C24">
        <v>153.80000000000001</v>
      </c>
      <c r="D24">
        <v>217.2</v>
      </c>
      <c r="E24">
        <v>169.6</v>
      </c>
      <c r="F24">
        <v>165.4</v>
      </c>
      <c r="G24">
        <v>208.1</v>
      </c>
      <c r="H24">
        <v>165.8</v>
      </c>
      <c r="I24">
        <v>167.3</v>
      </c>
      <c r="J24">
        <v>164.6</v>
      </c>
      <c r="K24">
        <v>119.1</v>
      </c>
      <c r="L24">
        <v>188.9</v>
      </c>
      <c r="M24">
        <v>174.2</v>
      </c>
      <c r="N24">
        <v>181.9</v>
      </c>
      <c r="O24">
        <v>172.4</v>
      </c>
      <c r="P24">
        <v>192.9</v>
      </c>
      <c r="Q24">
        <v>180.7</v>
      </c>
      <c r="R24">
        <v>178.7</v>
      </c>
      <c r="S24">
        <v>180.4</v>
      </c>
      <c r="T24">
        <v>176.7</v>
      </c>
      <c r="U24">
        <v>170.3</v>
      </c>
      <c r="V24">
        <v>178.2</v>
      </c>
      <c r="W24">
        <v>165.5</v>
      </c>
      <c r="X24">
        <v>168</v>
      </c>
      <c r="Y24">
        <v>172.6</v>
      </c>
      <c r="Z24">
        <v>169.5</v>
      </c>
      <c r="AA24">
        <v>171</v>
      </c>
      <c r="AB24">
        <v>173.6</v>
      </c>
    </row>
    <row r="25" spans="1:28" x14ac:dyDescent="0.3">
      <c r="A25" s="42">
        <v>44743</v>
      </c>
      <c r="B25" s="43">
        <v>105.49124737500001</v>
      </c>
      <c r="C25">
        <v>155.19999999999999</v>
      </c>
      <c r="D25">
        <v>210.8</v>
      </c>
      <c r="E25">
        <v>174.3</v>
      </c>
      <c r="F25">
        <v>166.3</v>
      </c>
      <c r="G25">
        <v>202.2</v>
      </c>
      <c r="H25">
        <v>169.6</v>
      </c>
      <c r="I25">
        <v>168.6</v>
      </c>
      <c r="J25">
        <v>164.4</v>
      </c>
      <c r="K25">
        <v>119.2</v>
      </c>
      <c r="L25">
        <v>191.8</v>
      </c>
      <c r="M25">
        <v>174.5</v>
      </c>
      <c r="N25">
        <v>183.1</v>
      </c>
      <c r="O25">
        <v>172.5</v>
      </c>
      <c r="P25">
        <v>193.2</v>
      </c>
      <c r="Q25">
        <v>182</v>
      </c>
      <c r="R25">
        <v>180.3</v>
      </c>
      <c r="S25">
        <v>181.7</v>
      </c>
      <c r="T25">
        <v>179.6</v>
      </c>
      <c r="U25">
        <v>171.3</v>
      </c>
      <c r="V25">
        <v>178.8</v>
      </c>
      <c r="W25">
        <v>166.3</v>
      </c>
      <c r="X25">
        <v>168.6</v>
      </c>
      <c r="Y25">
        <v>174.7</v>
      </c>
      <c r="Z25">
        <v>169.7</v>
      </c>
      <c r="AA25">
        <v>171.8</v>
      </c>
      <c r="AB25">
        <v>174.3</v>
      </c>
    </row>
    <row r="26" spans="1:28" x14ac:dyDescent="0.3">
      <c r="A26" s="42">
        <v>44774</v>
      </c>
      <c r="B26" s="43">
        <v>97.404465428571427</v>
      </c>
      <c r="C26">
        <v>159.5</v>
      </c>
      <c r="D26">
        <v>204.1</v>
      </c>
      <c r="E26">
        <v>168.3</v>
      </c>
      <c r="F26">
        <v>167.9</v>
      </c>
      <c r="G26">
        <v>198.1</v>
      </c>
      <c r="H26">
        <v>169.2</v>
      </c>
      <c r="I26">
        <v>173.1</v>
      </c>
      <c r="J26">
        <v>167.1</v>
      </c>
      <c r="K26">
        <v>120.2</v>
      </c>
      <c r="L26">
        <v>195.6</v>
      </c>
      <c r="M26">
        <v>174.8</v>
      </c>
      <c r="N26">
        <v>184</v>
      </c>
      <c r="O26">
        <v>173.9</v>
      </c>
      <c r="P26">
        <v>193.7</v>
      </c>
      <c r="Q26">
        <v>183.2</v>
      </c>
      <c r="R26">
        <v>181.7</v>
      </c>
      <c r="S26">
        <v>183</v>
      </c>
      <c r="T26">
        <v>179.1</v>
      </c>
      <c r="U26">
        <v>172.3</v>
      </c>
      <c r="V26">
        <v>179.4</v>
      </c>
      <c r="W26">
        <v>166.6</v>
      </c>
      <c r="X26">
        <v>169.3</v>
      </c>
      <c r="Y26">
        <v>175.7</v>
      </c>
      <c r="Z26">
        <v>171.1</v>
      </c>
      <c r="AA26">
        <v>172.6</v>
      </c>
      <c r="AB26">
        <v>175.3</v>
      </c>
    </row>
    <row r="27" spans="1:28" x14ac:dyDescent="0.3">
      <c r="A27" s="42">
        <v>44805</v>
      </c>
      <c r="B27" s="43">
        <v>90.706344809523813</v>
      </c>
      <c r="C27">
        <v>162.9</v>
      </c>
      <c r="D27">
        <v>206.7</v>
      </c>
      <c r="E27">
        <v>169</v>
      </c>
      <c r="F27">
        <v>169.5</v>
      </c>
      <c r="G27">
        <v>194.1</v>
      </c>
      <c r="H27">
        <v>164.1</v>
      </c>
      <c r="I27">
        <v>176.9</v>
      </c>
      <c r="J27">
        <v>169</v>
      </c>
      <c r="K27">
        <v>120.8</v>
      </c>
      <c r="L27">
        <v>199.1</v>
      </c>
      <c r="M27">
        <v>175.4</v>
      </c>
      <c r="N27">
        <v>184.8</v>
      </c>
      <c r="O27">
        <v>175.5</v>
      </c>
      <c r="P27">
        <v>194.5</v>
      </c>
      <c r="Q27">
        <v>184.7</v>
      </c>
      <c r="R27">
        <v>183.3</v>
      </c>
      <c r="S27">
        <v>184.5</v>
      </c>
      <c r="T27">
        <v>179.7</v>
      </c>
      <c r="U27">
        <v>173.6</v>
      </c>
      <c r="V27">
        <v>180.2</v>
      </c>
      <c r="W27">
        <v>166.9</v>
      </c>
      <c r="X27">
        <v>170</v>
      </c>
      <c r="Y27">
        <v>176.2</v>
      </c>
      <c r="Z27">
        <v>170.8</v>
      </c>
      <c r="AA27">
        <v>173.1</v>
      </c>
      <c r="AB27">
        <v>176.4</v>
      </c>
    </row>
    <row r="28" spans="1:28" x14ac:dyDescent="0.3">
      <c r="A28" s="42">
        <v>44835</v>
      </c>
      <c r="B28" s="43">
        <v>91.698948700000003</v>
      </c>
      <c r="C28">
        <v>164.7</v>
      </c>
      <c r="D28">
        <v>208.8</v>
      </c>
      <c r="E28">
        <v>170.3</v>
      </c>
      <c r="F28">
        <v>170.9</v>
      </c>
      <c r="G28">
        <v>191.6</v>
      </c>
      <c r="H28">
        <v>162.19999999999999</v>
      </c>
      <c r="I28">
        <v>184.8</v>
      </c>
      <c r="J28">
        <v>169.7</v>
      </c>
      <c r="K28">
        <v>121.1</v>
      </c>
      <c r="L28">
        <v>201.6</v>
      </c>
      <c r="M28">
        <v>175.8</v>
      </c>
      <c r="N28">
        <v>185.6</v>
      </c>
      <c r="O28">
        <v>177.4</v>
      </c>
      <c r="P28">
        <v>194.9</v>
      </c>
      <c r="Q28">
        <v>186.1</v>
      </c>
      <c r="R28">
        <v>184.4</v>
      </c>
      <c r="S28">
        <v>185.9</v>
      </c>
      <c r="T28">
        <v>180.8</v>
      </c>
      <c r="U28">
        <v>174.4</v>
      </c>
      <c r="V28">
        <v>181.2</v>
      </c>
      <c r="W28">
        <v>167.4</v>
      </c>
      <c r="X28">
        <v>170.6</v>
      </c>
      <c r="Y28">
        <v>176.5</v>
      </c>
      <c r="Z28">
        <v>172</v>
      </c>
      <c r="AA28">
        <v>173.9</v>
      </c>
      <c r="AB28">
        <v>177.9</v>
      </c>
    </row>
    <row r="29" spans="1:28" x14ac:dyDescent="0.3">
      <c r="A29" s="42">
        <v>44866</v>
      </c>
      <c r="B29" s="43">
        <v>87.552266068181822</v>
      </c>
      <c r="C29">
        <v>166.9</v>
      </c>
      <c r="D29">
        <v>207.2</v>
      </c>
      <c r="E29">
        <v>180.2</v>
      </c>
      <c r="F29">
        <v>172.3</v>
      </c>
      <c r="G29">
        <v>194</v>
      </c>
      <c r="H29">
        <v>159.1</v>
      </c>
      <c r="I29">
        <v>171.6</v>
      </c>
      <c r="J29">
        <v>170.2</v>
      </c>
      <c r="K29">
        <v>121.5</v>
      </c>
      <c r="L29">
        <v>204.8</v>
      </c>
      <c r="M29">
        <v>176.4</v>
      </c>
      <c r="N29">
        <v>186.9</v>
      </c>
      <c r="O29">
        <v>176.6</v>
      </c>
      <c r="P29">
        <v>195.5</v>
      </c>
      <c r="Q29">
        <v>187.2</v>
      </c>
      <c r="R29">
        <v>185.2</v>
      </c>
      <c r="S29">
        <v>186.9</v>
      </c>
      <c r="T29">
        <v>181.9</v>
      </c>
      <c r="U29">
        <v>175.5</v>
      </c>
      <c r="V29">
        <v>182.3</v>
      </c>
      <c r="W29">
        <v>167.5</v>
      </c>
      <c r="X29">
        <v>170.8</v>
      </c>
      <c r="Y29">
        <v>176.9</v>
      </c>
      <c r="Z29">
        <v>173.4</v>
      </c>
      <c r="AA29">
        <v>174.6</v>
      </c>
      <c r="AB29">
        <v>177.8</v>
      </c>
    </row>
    <row r="30" spans="1:28" x14ac:dyDescent="0.3">
      <c r="A30" s="42">
        <v>44896</v>
      </c>
      <c r="B30" s="43">
        <v>78.100942275000008</v>
      </c>
      <c r="C30">
        <v>168.8</v>
      </c>
      <c r="D30">
        <v>206.9</v>
      </c>
      <c r="E30">
        <v>189.1</v>
      </c>
      <c r="F30">
        <v>173.4</v>
      </c>
      <c r="G30">
        <v>193.9</v>
      </c>
      <c r="H30">
        <v>156.69999999999999</v>
      </c>
      <c r="I30">
        <v>150.19999999999999</v>
      </c>
      <c r="J30">
        <v>170.5</v>
      </c>
      <c r="K30">
        <v>121.2</v>
      </c>
      <c r="L30">
        <v>207.5</v>
      </c>
      <c r="M30">
        <v>176.8</v>
      </c>
      <c r="N30">
        <v>187.7</v>
      </c>
      <c r="O30">
        <v>174.4</v>
      </c>
      <c r="P30">
        <v>195.9</v>
      </c>
      <c r="Q30">
        <v>188.1</v>
      </c>
      <c r="R30">
        <v>185.9</v>
      </c>
      <c r="S30">
        <v>187.8</v>
      </c>
      <c r="T30">
        <v>182.8</v>
      </c>
      <c r="U30">
        <v>176.4</v>
      </c>
      <c r="V30">
        <v>183.5</v>
      </c>
      <c r="W30">
        <v>167.8</v>
      </c>
      <c r="X30">
        <v>171.2</v>
      </c>
      <c r="Y30">
        <v>177.3</v>
      </c>
      <c r="Z30">
        <v>175.7</v>
      </c>
      <c r="AA30">
        <v>175.5</v>
      </c>
      <c r="AB30">
        <v>177.1</v>
      </c>
    </row>
    <row r="31" spans="1:28" x14ac:dyDescent="0.3">
      <c r="A31" s="42"/>
      <c r="B31" s="43"/>
    </row>
    <row r="32" spans="1:28" x14ac:dyDescent="0.3">
      <c r="A32" s="42"/>
      <c r="B32" s="43"/>
    </row>
    <row r="33" spans="1:27" x14ac:dyDescent="0.3">
      <c r="A33" s="42"/>
      <c r="B33" s="43"/>
    </row>
    <row r="34" spans="1:27" ht="21" x14ac:dyDescent="0.4">
      <c r="A34" s="42"/>
      <c r="B34" s="50" t="s">
        <v>99</v>
      </c>
      <c r="C34" s="51" t="s">
        <v>100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7" x14ac:dyDescent="0.3">
      <c r="A35" s="42"/>
      <c r="B35" s="49" t="s">
        <v>3</v>
      </c>
      <c r="C35" s="43">
        <v>0.50454041340920452</v>
      </c>
    </row>
    <row r="36" spans="1:27" x14ac:dyDescent="0.3">
      <c r="A36" s="42"/>
      <c r="B36" s="49" t="s">
        <v>4</v>
      </c>
      <c r="C36" s="43">
        <v>0.83352109944434605</v>
      </c>
    </row>
    <row r="37" spans="1:27" x14ac:dyDescent="0.3">
      <c r="A37" s="42"/>
      <c r="B37" s="49" t="s">
        <v>5</v>
      </c>
      <c r="C37" s="44">
        <v>-0.19207235941776168</v>
      </c>
    </row>
    <row r="38" spans="1:27" x14ac:dyDescent="0.3">
      <c r="B38" s="49" t="s">
        <v>6</v>
      </c>
      <c r="C38" s="43">
        <v>0.6340052374889823</v>
      </c>
      <c r="Z38" s="42"/>
      <c r="AA38" s="43"/>
    </row>
    <row r="39" spans="1:27" ht="21" x14ac:dyDescent="0.4">
      <c r="A39" s="42"/>
      <c r="B39" s="49" t="s">
        <v>7</v>
      </c>
      <c r="C39" s="43">
        <v>0.82628872856454783</v>
      </c>
      <c r="F39" s="45"/>
    </row>
    <row r="40" spans="1:27" x14ac:dyDescent="0.3">
      <c r="A40" s="42"/>
      <c r="B40" s="49" t="s">
        <v>8</v>
      </c>
      <c r="C40" s="43">
        <v>0.65128163178040821</v>
      </c>
    </row>
    <row r="41" spans="1:27" x14ac:dyDescent="0.3">
      <c r="A41" s="42"/>
      <c r="B41" s="49" t="s">
        <v>9</v>
      </c>
      <c r="C41" s="43">
        <v>0.27068870012139146</v>
      </c>
    </row>
    <row r="42" spans="1:27" x14ac:dyDescent="0.3">
      <c r="B42" s="49" t="s">
        <v>10</v>
      </c>
      <c r="C42" s="43">
        <v>0.45230739807610421</v>
      </c>
    </row>
    <row r="43" spans="1:27" ht="33.6" x14ac:dyDescent="0.65">
      <c r="B43" s="49" t="s">
        <v>11</v>
      </c>
      <c r="C43" s="43">
        <v>0.57811683085801635</v>
      </c>
      <c r="J43" s="47"/>
    </row>
    <row r="44" spans="1:27" x14ac:dyDescent="0.3">
      <c r="B44" s="49" t="s">
        <v>12</v>
      </c>
      <c r="C44" s="43">
        <v>0.59421077049435145</v>
      </c>
    </row>
    <row r="45" spans="1:27" ht="33.6" x14ac:dyDescent="0.65">
      <c r="B45" s="49" t="s">
        <v>13</v>
      </c>
      <c r="C45" s="43">
        <v>0.77277143172658247</v>
      </c>
      <c r="J45" s="47" t="s">
        <v>85</v>
      </c>
    </row>
    <row r="46" spans="1:27" ht="21" x14ac:dyDescent="0.4">
      <c r="B46" s="49" t="s">
        <v>14</v>
      </c>
      <c r="C46" s="43">
        <v>0.72397422967409464</v>
      </c>
      <c r="J46" s="48" t="s">
        <v>98</v>
      </c>
    </row>
    <row r="47" spans="1:27" x14ac:dyDescent="0.3">
      <c r="B47" s="49" t="s">
        <v>15</v>
      </c>
      <c r="C47" s="43">
        <v>0.70435771982748996</v>
      </c>
    </row>
    <row r="48" spans="1:27" x14ac:dyDescent="0.3">
      <c r="B48" s="49" t="s">
        <v>16</v>
      </c>
      <c r="C48" s="43">
        <v>0.71743721127956239</v>
      </c>
    </row>
    <row r="49" spans="2:3" x14ac:dyDescent="0.3">
      <c r="B49" s="49" t="s">
        <v>17</v>
      </c>
      <c r="C49" s="43">
        <v>0.7379643460114349</v>
      </c>
    </row>
    <row r="50" spans="2:3" x14ac:dyDescent="0.3">
      <c r="B50" s="49" t="s">
        <v>18</v>
      </c>
      <c r="C50" s="43">
        <v>0.75701257305293457</v>
      </c>
    </row>
    <row r="51" spans="2:3" x14ac:dyDescent="0.3">
      <c r="B51" s="49" t="s">
        <v>19</v>
      </c>
      <c r="C51" s="43">
        <v>0.74085413947798273</v>
      </c>
    </row>
    <row r="52" spans="2:3" x14ac:dyDescent="0.3">
      <c r="B52" s="49" t="s">
        <v>21</v>
      </c>
      <c r="C52" s="43">
        <v>0.7414609762756631</v>
      </c>
    </row>
    <row r="53" spans="2:3" x14ac:dyDescent="0.3">
      <c r="B53" s="49" t="s">
        <v>22</v>
      </c>
      <c r="C53" s="43">
        <v>0.72142310141555366</v>
      </c>
    </row>
    <row r="54" spans="2:3" x14ac:dyDescent="0.3">
      <c r="B54" s="49" t="s">
        <v>23</v>
      </c>
      <c r="C54" s="43">
        <v>0.74410353263817419</v>
      </c>
    </row>
    <row r="55" spans="2:3" x14ac:dyDescent="0.3">
      <c r="B55" s="49" t="s">
        <v>24</v>
      </c>
      <c r="C55" s="43">
        <v>0.81375235971738413</v>
      </c>
    </row>
    <row r="56" spans="2:3" x14ac:dyDescent="0.3">
      <c r="B56" s="49" t="s">
        <v>25</v>
      </c>
      <c r="C56" s="43">
        <v>0.77332867946311279</v>
      </c>
    </row>
    <row r="57" spans="2:3" x14ac:dyDescent="0.3">
      <c r="B57" s="49" t="s">
        <v>26</v>
      </c>
      <c r="C57" s="43">
        <v>0.66866872667437949</v>
      </c>
    </row>
    <row r="58" spans="2:3" x14ac:dyDescent="0.3">
      <c r="B58" s="49" t="s">
        <v>27</v>
      </c>
      <c r="C58" s="43">
        <v>0.74241589021232013</v>
      </c>
    </row>
    <row r="59" spans="2:3" x14ac:dyDescent="0.3">
      <c r="B59" s="49" t="s">
        <v>28</v>
      </c>
      <c r="C59" s="43">
        <v>0.76308725993468152</v>
      </c>
    </row>
    <row r="60" spans="2:3" x14ac:dyDescent="0.3">
      <c r="B60" s="49" t="s">
        <v>29</v>
      </c>
      <c r="C60" s="43">
        <v>0.73352064606393874</v>
      </c>
    </row>
    <row r="66" spans="1:29" ht="25.8" x14ac:dyDescent="0.5">
      <c r="A66" s="53" t="s">
        <v>33</v>
      </c>
    </row>
    <row r="67" spans="1:29" x14ac:dyDescent="0.3">
      <c r="C67" s="43">
        <f>CORREL($B$69:$B$92,C69:C92)</f>
        <v>0.5178755737890588</v>
      </c>
      <c r="D67" s="43">
        <f>CORREL($B$69:$B$92,D69:D92)</f>
        <v>0.85586992381541083</v>
      </c>
      <c r="E67" s="44">
        <f>CORREL(B69:B92,E69:E92)</f>
        <v>-0.24788711146731129</v>
      </c>
      <c r="F67" s="43">
        <f t="shared" ref="F67:T67" si="1">CORREL($B$69:$B$92,F69:F92)</f>
        <v>0.63625804022224308</v>
      </c>
      <c r="G67" s="43">
        <f t="shared" si="1"/>
        <v>0.83897303864459927</v>
      </c>
      <c r="H67" s="43">
        <f t="shared" si="1"/>
        <v>0.5063193551106222</v>
      </c>
      <c r="I67" s="43">
        <f t="shared" si="1"/>
        <v>0.44664634929046448</v>
      </c>
      <c r="J67" s="43">
        <f t="shared" si="1"/>
        <v>0.18641082304095971</v>
      </c>
      <c r="K67" s="43">
        <f t="shared" si="1"/>
        <v>0.6093163684496512</v>
      </c>
      <c r="L67" s="43">
        <f t="shared" si="1"/>
        <v>0.5825400691775251</v>
      </c>
      <c r="M67" s="43">
        <f t="shared" si="1"/>
        <v>0.71845938788044106</v>
      </c>
      <c r="N67" s="43">
        <f t="shared" si="1"/>
        <v>0.71320949781064213</v>
      </c>
      <c r="O67" s="43">
        <f t="shared" si="1"/>
        <v>0.7382281956874438</v>
      </c>
      <c r="P67" s="43">
        <f t="shared" si="1"/>
        <v>0.58714496212221723</v>
      </c>
      <c r="Q67" s="43">
        <f t="shared" si="1"/>
        <v>0.7374105270872896</v>
      </c>
      <c r="R67" s="43">
        <f t="shared" si="1"/>
        <v>0.7330263215885493</v>
      </c>
      <c r="S67" s="43">
        <f t="shared" si="1"/>
        <v>0.73626586288675255</v>
      </c>
      <c r="T67" s="43">
        <f t="shared" si="1"/>
        <v>0.69787802521406628</v>
      </c>
      <c r="U67" s="43">
        <f t="shared" ref="U67:AC67" si="2">CORREL($B$69:$B$92,U69:U92)</f>
        <v>0.73019600969620957</v>
      </c>
      <c r="V67" s="43">
        <f t="shared" si="2"/>
        <v>0.73954974442444255</v>
      </c>
      <c r="W67" s="43">
        <f t="shared" si="2"/>
        <v>0.73234669702372779</v>
      </c>
      <c r="X67" s="43">
        <f t="shared" si="2"/>
        <v>0.81562092086659066</v>
      </c>
      <c r="Y67" s="43">
        <f t="shared" si="2"/>
        <v>0.79402389502487636</v>
      </c>
      <c r="Z67" s="43">
        <f t="shared" si="2"/>
        <v>0.64128243784824446</v>
      </c>
      <c r="AA67" s="43">
        <f t="shared" si="2"/>
        <v>0.71308767170202558</v>
      </c>
      <c r="AB67" s="43">
        <f t="shared" si="2"/>
        <v>0.76779658520961469</v>
      </c>
      <c r="AC67" s="43">
        <f t="shared" si="2"/>
        <v>0.7539555441681991</v>
      </c>
    </row>
    <row r="68" spans="1:29" x14ac:dyDescent="0.3">
      <c r="A68" s="22" t="s">
        <v>97</v>
      </c>
      <c r="B68" s="22" t="s">
        <v>96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  <c r="I68" s="1" t="s">
        <v>9</v>
      </c>
      <c r="J68" s="1" t="s">
        <v>10</v>
      </c>
      <c r="K68" s="1" t="s">
        <v>11</v>
      </c>
      <c r="L68" s="1" t="s">
        <v>12</v>
      </c>
      <c r="M68" s="1" t="s">
        <v>13</v>
      </c>
      <c r="N68" s="1" t="s">
        <v>14</v>
      </c>
      <c r="O68" s="1" t="s">
        <v>15</v>
      </c>
      <c r="P68" s="1" t="s">
        <v>16</v>
      </c>
      <c r="Q68" s="1" t="s">
        <v>17</v>
      </c>
      <c r="R68" s="1" t="s">
        <v>18</v>
      </c>
      <c r="S68" s="1" t="s">
        <v>19</v>
      </c>
      <c r="T68" s="1" t="s">
        <v>20</v>
      </c>
      <c r="U68" s="1" t="s">
        <v>21</v>
      </c>
      <c r="V68" s="1" t="s">
        <v>22</v>
      </c>
      <c r="W68" s="1" t="s">
        <v>23</v>
      </c>
      <c r="X68" s="1" t="s">
        <v>24</v>
      </c>
      <c r="Y68" s="1" t="s">
        <v>25</v>
      </c>
      <c r="Z68" s="1" t="s">
        <v>26</v>
      </c>
      <c r="AA68" s="1" t="s">
        <v>27</v>
      </c>
      <c r="AB68" s="1" t="s">
        <v>28</v>
      </c>
      <c r="AC68" s="1" t="s">
        <v>29</v>
      </c>
    </row>
    <row r="69" spans="1:29" x14ac:dyDescent="0.3">
      <c r="A69" s="42">
        <v>44197</v>
      </c>
      <c r="B69" s="43">
        <v>54.794569624999994</v>
      </c>
      <c r="C69">
        <v>148</v>
      </c>
      <c r="D69">
        <v>194.8</v>
      </c>
      <c r="E69">
        <v>178.4</v>
      </c>
      <c r="F69">
        <v>154.4</v>
      </c>
      <c r="G69">
        <v>144.1</v>
      </c>
      <c r="H69">
        <v>152.6</v>
      </c>
      <c r="I69">
        <v>206.8</v>
      </c>
      <c r="J69">
        <v>162.1</v>
      </c>
      <c r="K69">
        <v>116.3</v>
      </c>
      <c r="L69">
        <v>163</v>
      </c>
      <c r="M69">
        <v>145.9</v>
      </c>
      <c r="N69">
        <v>167.2</v>
      </c>
      <c r="O69">
        <v>163.4</v>
      </c>
      <c r="P69">
        <v>191.8</v>
      </c>
      <c r="Q69">
        <v>152.5</v>
      </c>
      <c r="R69">
        <v>137.30000000000001</v>
      </c>
      <c r="S69">
        <v>150.19999999999999</v>
      </c>
      <c r="T69">
        <v>157.69999999999999</v>
      </c>
      <c r="U69">
        <v>142.9</v>
      </c>
      <c r="V69">
        <v>145.69999999999999</v>
      </c>
      <c r="W69">
        <v>154.1</v>
      </c>
      <c r="X69">
        <v>136.9</v>
      </c>
      <c r="Y69">
        <v>145.4</v>
      </c>
      <c r="Z69">
        <v>156.1</v>
      </c>
      <c r="AA69">
        <v>157.69999999999999</v>
      </c>
      <c r="AB69">
        <v>147.6</v>
      </c>
      <c r="AC69">
        <v>156</v>
      </c>
    </row>
    <row r="70" spans="1:29" x14ac:dyDescent="0.3">
      <c r="A70" s="42">
        <v>44228</v>
      </c>
      <c r="B70" s="43">
        <v>61.216117289473672</v>
      </c>
      <c r="C70">
        <v>147.6</v>
      </c>
      <c r="D70">
        <v>191.2</v>
      </c>
      <c r="E70">
        <v>169.9</v>
      </c>
      <c r="F70">
        <v>155.1</v>
      </c>
      <c r="G70">
        <v>151.4</v>
      </c>
      <c r="H70">
        <v>154</v>
      </c>
      <c r="I70">
        <v>180.2</v>
      </c>
      <c r="J70">
        <v>159.80000000000001</v>
      </c>
      <c r="K70">
        <v>114.9</v>
      </c>
      <c r="L70">
        <v>162.5</v>
      </c>
      <c r="M70">
        <v>149.19999999999999</v>
      </c>
      <c r="N70">
        <v>169.4</v>
      </c>
      <c r="O70">
        <v>160.80000000000001</v>
      </c>
      <c r="P70">
        <v>193.3</v>
      </c>
      <c r="Q70">
        <v>154.19999999999999</v>
      </c>
      <c r="R70">
        <v>138.19999999999999</v>
      </c>
      <c r="S70">
        <v>151.80000000000001</v>
      </c>
      <c r="T70">
        <v>159.80000000000001</v>
      </c>
      <c r="U70">
        <v>149.1</v>
      </c>
      <c r="V70">
        <v>146.5</v>
      </c>
      <c r="W70">
        <v>156.30000000000001</v>
      </c>
      <c r="X70">
        <v>140.5</v>
      </c>
      <c r="Y70">
        <v>147.30000000000001</v>
      </c>
      <c r="Z70">
        <v>156.6</v>
      </c>
      <c r="AA70">
        <v>156.69999999999999</v>
      </c>
      <c r="AB70">
        <v>149.30000000000001</v>
      </c>
      <c r="AC70">
        <v>156.5</v>
      </c>
    </row>
    <row r="71" spans="1:29" x14ac:dyDescent="0.3">
      <c r="A71" s="42">
        <v>44256</v>
      </c>
      <c r="B71" s="43">
        <v>64.729496782608663</v>
      </c>
      <c r="C71">
        <v>147.5</v>
      </c>
      <c r="D71">
        <v>197.5</v>
      </c>
      <c r="E71">
        <v>164.7</v>
      </c>
      <c r="F71">
        <v>155.6</v>
      </c>
      <c r="G71">
        <v>156.4</v>
      </c>
      <c r="H71">
        <v>157.30000000000001</v>
      </c>
      <c r="I71">
        <v>166.1</v>
      </c>
      <c r="J71">
        <v>161.1</v>
      </c>
      <c r="K71">
        <v>114.3</v>
      </c>
      <c r="L71">
        <v>162.6</v>
      </c>
      <c r="M71">
        <v>150.69999999999999</v>
      </c>
      <c r="N71">
        <v>170.3</v>
      </c>
      <c r="O71">
        <v>160.4</v>
      </c>
      <c r="P71">
        <v>193.5</v>
      </c>
      <c r="Q71">
        <v>155.1</v>
      </c>
      <c r="R71">
        <v>138.69999999999999</v>
      </c>
      <c r="S71">
        <v>152.6</v>
      </c>
      <c r="T71">
        <v>159.9</v>
      </c>
      <c r="U71">
        <v>154.80000000000001</v>
      </c>
      <c r="V71">
        <v>147.19999999999999</v>
      </c>
      <c r="W71">
        <v>156.9</v>
      </c>
      <c r="X71">
        <v>141.69999999999999</v>
      </c>
      <c r="Y71">
        <v>148.6</v>
      </c>
      <c r="Z71">
        <v>157.6</v>
      </c>
      <c r="AA71">
        <v>154.9</v>
      </c>
      <c r="AB71">
        <v>150</v>
      </c>
      <c r="AC71">
        <v>156.9</v>
      </c>
    </row>
    <row r="72" spans="1:29" x14ac:dyDescent="0.3">
      <c r="A72" s="42">
        <v>44287</v>
      </c>
      <c r="B72" s="43">
        <v>63.396976500000008</v>
      </c>
      <c r="C72">
        <v>147.6</v>
      </c>
      <c r="D72">
        <v>202.5</v>
      </c>
      <c r="E72">
        <v>166.4</v>
      </c>
      <c r="F72">
        <v>156</v>
      </c>
      <c r="G72">
        <v>161.4</v>
      </c>
      <c r="H72">
        <v>168.8</v>
      </c>
      <c r="I72">
        <v>161.6</v>
      </c>
      <c r="J72">
        <v>162.80000000000001</v>
      </c>
      <c r="K72">
        <v>114.8</v>
      </c>
      <c r="L72">
        <v>162.80000000000001</v>
      </c>
      <c r="M72">
        <v>151.5</v>
      </c>
      <c r="N72">
        <v>171.4</v>
      </c>
      <c r="O72">
        <v>162</v>
      </c>
      <c r="P72">
        <v>194.4</v>
      </c>
      <c r="Q72">
        <v>155.9</v>
      </c>
      <c r="R72">
        <v>139.30000000000001</v>
      </c>
      <c r="S72">
        <v>153.4</v>
      </c>
      <c r="T72">
        <v>161.4</v>
      </c>
      <c r="U72">
        <v>154.9</v>
      </c>
      <c r="V72">
        <v>147.6</v>
      </c>
      <c r="W72">
        <v>157.5</v>
      </c>
      <c r="X72">
        <v>142.1</v>
      </c>
      <c r="Y72">
        <v>149.1</v>
      </c>
      <c r="Z72">
        <v>157.6</v>
      </c>
      <c r="AA72">
        <v>156.6</v>
      </c>
      <c r="AB72">
        <v>150.5</v>
      </c>
      <c r="AC72">
        <v>158</v>
      </c>
    </row>
    <row r="73" spans="1:29" x14ac:dyDescent="0.3">
      <c r="A73" s="42">
        <v>44317</v>
      </c>
      <c r="B73" s="43">
        <v>66.953084852941174</v>
      </c>
      <c r="C73">
        <v>148.80000000000001</v>
      </c>
      <c r="D73">
        <v>204.3</v>
      </c>
      <c r="E73">
        <v>173</v>
      </c>
      <c r="F73">
        <v>156.5</v>
      </c>
      <c r="G73">
        <v>168.8</v>
      </c>
      <c r="H73">
        <v>172.5</v>
      </c>
      <c r="I73">
        <v>166.5</v>
      </c>
      <c r="J73">
        <v>165.9</v>
      </c>
      <c r="K73">
        <v>115.9</v>
      </c>
      <c r="L73">
        <v>165.2</v>
      </c>
      <c r="M73">
        <v>152</v>
      </c>
      <c r="N73">
        <v>171.1</v>
      </c>
      <c r="O73">
        <v>164.2</v>
      </c>
      <c r="P73">
        <v>198.2</v>
      </c>
      <c r="Q73">
        <v>156.5</v>
      </c>
      <c r="R73">
        <v>140.19999999999999</v>
      </c>
      <c r="S73">
        <v>154.1</v>
      </c>
      <c r="T73">
        <v>161.6</v>
      </c>
      <c r="U73">
        <v>155.5</v>
      </c>
      <c r="V73">
        <v>150.1</v>
      </c>
      <c r="W73">
        <v>160.4</v>
      </c>
      <c r="X73">
        <v>145</v>
      </c>
      <c r="Y73">
        <v>152.6</v>
      </c>
      <c r="Z73">
        <v>156.6</v>
      </c>
      <c r="AA73">
        <v>157.5</v>
      </c>
      <c r="AB73">
        <v>152.30000000000001</v>
      </c>
      <c r="AC73">
        <v>159.5</v>
      </c>
    </row>
    <row r="74" spans="1:29" x14ac:dyDescent="0.3">
      <c r="A74" s="42">
        <v>44348</v>
      </c>
      <c r="B74" s="43">
        <v>71.982647477272721</v>
      </c>
      <c r="C74">
        <v>149.19999999999999</v>
      </c>
      <c r="D74">
        <v>205.5</v>
      </c>
      <c r="E74">
        <v>182.8</v>
      </c>
      <c r="F74">
        <v>156.5</v>
      </c>
      <c r="G74">
        <v>172.2</v>
      </c>
      <c r="H74">
        <v>171.5</v>
      </c>
      <c r="I74">
        <v>176.2</v>
      </c>
      <c r="J74">
        <v>166.9</v>
      </c>
      <c r="K74">
        <v>116.1</v>
      </c>
      <c r="L74">
        <v>165.5</v>
      </c>
      <c r="M74">
        <v>152.30000000000001</v>
      </c>
      <c r="N74">
        <v>173.3</v>
      </c>
      <c r="O74">
        <v>166.2</v>
      </c>
      <c r="P74">
        <v>195.6</v>
      </c>
      <c r="Q74">
        <v>157.30000000000001</v>
      </c>
      <c r="R74">
        <v>140.5</v>
      </c>
      <c r="S74">
        <v>154.80000000000001</v>
      </c>
      <c r="T74">
        <v>160.5</v>
      </c>
      <c r="U74">
        <v>156.1</v>
      </c>
      <c r="V74">
        <v>149.80000000000001</v>
      </c>
      <c r="W74">
        <v>160.80000000000001</v>
      </c>
      <c r="X74">
        <v>147.5</v>
      </c>
      <c r="Y74">
        <v>150.69999999999999</v>
      </c>
      <c r="Z74">
        <v>158.1</v>
      </c>
      <c r="AA74">
        <v>158</v>
      </c>
      <c r="AB74">
        <v>153.4</v>
      </c>
      <c r="AC74">
        <v>160.4</v>
      </c>
    </row>
    <row r="75" spans="1:29" x14ac:dyDescent="0.3">
      <c r="A75" s="42">
        <v>44378</v>
      </c>
      <c r="B75" s="43">
        <v>73.539060523809511</v>
      </c>
      <c r="C75">
        <v>149.1</v>
      </c>
      <c r="D75">
        <v>210.9</v>
      </c>
      <c r="E75">
        <v>185</v>
      </c>
      <c r="F75">
        <v>158.19999999999999</v>
      </c>
      <c r="G75">
        <v>170.6</v>
      </c>
      <c r="H75">
        <v>170.9</v>
      </c>
      <c r="I75">
        <v>186.4</v>
      </c>
      <c r="J75">
        <v>164.7</v>
      </c>
      <c r="K75">
        <v>115.7</v>
      </c>
      <c r="L75">
        <v>165.5</v>
      </c>
      <c r="M75">
        <v>153.4</v>
      </c>
      <c r="N75">
        <v>173.5</v>
      </c>
      <c r="O75">
        <v>167.9</v>
      </c>
      <c r="P75">
        <v>195.5</v>
      </c>
      <c r="Q75">
        <v>157.9</v>
      </c>
      <c r="R75">
        <v>141.9</v>
      </c>
      <c r="S75">
        <v>155.5</v>
      </c>
      <c r="T75">
        <v>161.5</v>
      </c>
      <c r="U75">
        <v>157.69999999999999</v>
      </c>
      <c r="V75">
        <v>150.69999999999999</v>
      </c>
      <c r="W75">
        <v>161.5</v>
      </c>
      <c r="X75">
        <v>149.5</v>
      </c>
      <c r="Y75">
        <v>151.19999999999999</v>
      </c>
      <c r="Z75">
        <v>160.30000000000001</v>
      </c>
      <c r="AA75">
        <v>159.6</v>
      </c>
      <c r="AB75">
        <v>155</v>
      </c>
      <c r="AC75">
        <v>161.80000000000001</v>
      </c>
    </row>
    <row r="76" spans="1:29" x14ac:dyDescent="0.3">
      <c r="A76" s="42">
        <v>44409</v>
      </c>
      <c r="B76" s="43">
        <v>69.804724424999989</v>
      </c>
      <c r="C76">
        <v>149.30000000000001</v>
      </c>
      <c r="D76">
        <v>207.4</v>
      </c>
      <c r="E76">
        <v>174.1</v>
      </c>
      <c r="F76">
        <v>159.19999999999999</v>
      </c>
      <c r="G76">
        <v>175</v>
      </c>
      <c r="H76">
        <v>161.30000000000001</v>
      </c>
      <c r="I76">
        <v>183.3</v>
      </c>
      <c r="J76">
        <v>164.5</v>
      </c>
      <c r="K76">
        <v>120.4</v>
      </c>
      <c r="L76">
        <v>166.2</v>
      </c>
      <c r="M76">
        <v>154.80000000000001</v>
      </c>
      <c r="N76">
        <v>175.1</v>
      </c>
      <c r="O76">
        <v>167.3</v>
      </c>
      <c r="P76">
        <v>196.5</v>
      </c>
      <c r="Q76">
        <v>159.80000000000001</v>
      </c>
      <c r="R76">
        <v>143.6</v>
      </c>
      <c r="S76">
        <v>157.30000000000001</v>
      </c>
      <c r="T76">
        <v>162.1</v>
      </c>
      <c r="U76">
        <v>160.69999999999999</v>
      </c>
      <c r="V76">
        <v>153.19999999999999</v>
      </c>
      <c r="W76">
        <v>162.80000000000001</v>
      </c>
      <c r="X76">
        <v>150.4</v>
      </c>
      <c r="Y76">
        <v>153.69999999999999</v>
      </c>
      <c r="Z76">
        <v>160.4</v>
      </c>
      <c r="AA76">
        <v>159.6</v>
      </c>
      <c r="AB76">
        <v>156</v>
      </c>
      <c r="AC76">
        <v>162.30000000000001</v>
      </c>
    </row>
    <row r="77" spans="1:29" x14ac:dyDescent="0.3">
      <c r="A77" s="42">
        <v>44440</v>
      </c>
      <c r="B77" s="43">
        <v>73.130738295454549</v>
      </c>
      <c r="C77">
        <v>149.30000000000001</v>
      </c>
      <c r="D77">
        <v>207.4</v>
      </c>
      <c r="E77">
        <v>174.1</v>
      </c>
      <c r="F77">
        <v>159.1</v>
      </c>
      <c r="G77">
        <v>175</v>
      </c>
      <c r="H77">
        <v>161.19999999999999</v>
      </c>
      <c r="I77">
        <v>183.5</v>
      </c>
      <c r="J77">
        <v>164.5</v>
      </c>
      <c r="K77">
        <v>120.4</v>
      </c>
      <c r="L77">
        <v>166.2</v>
      </c>
      <c r="M77">
        <v>154.80000000000001</v>
      </c>
      <c r="N77">
        <v>175.1</v>
      </c>
      <c r="O77">
        <v>167.3</v>
      </c>
      <c r="P77">
        <v>196.5</v>
      </c>
      <c r="Q77">
        <v>159.80000000000001</v>
      </c>
      <c r="R77">
        <v>143.6</v>
      </c>
      <c r="S77">
        <v>157.4</v>
      </c>
      <c r="T77">
        <v>162.1</v>
      </c>
      <c r="U77">
        <v>160.80000000000001</v>
      </c>
      <c r="V77">
        <v>153.30000000000001</v>
      </c>
      <c r="W77">
        <v>162.80000000000001</v>
      </c>
      <c r="X77">
        <v>150.5</v>
      </c>
      <c r="Y77">
        <v>153.9</v>
      </c>
      <c r="Z77">
        <v>160.30000000000001</v>
      </c>
      <c r="AA77">
        <v>159.6</v>
      </c>
      <c r="AB77">
        <v>156</v>
      </c>
      <c r="AC77">
        <v>162.30000000000001</v>
      </c>
    </row>
    <row r="78" spans="1:29" x14ac:dyDescent="0.3">
      <c r="A78" s="42">
        <v>44470</v>
      </c>
      <c r="B78" s="43">
        <v>82.107393785714294</v>
      </c>
      <c r="C78">
        <v>150.1</v>
      </c>
      <c r="D78">
        <v>208.4</v>
      </c>
      <c r="E78">
        <v>173</v>
      </c>
      <c r="F78">
        <v>159.19999999999999</v>
      </c>
      <c r="G78">
        <v>176.6</v>
      </c>
      <c r="H78">
        <v>159.30000000000001</v>
      </c>
      <c r="I78">
        <v>214.4</v>
      </c>
      <c r="J78">
        <v>165.3</v>
      </c>
      <c r="K78">
        <v>122.5</v>
      </c>
      <c r="L78">
        <v>166.8</v>
      </c>
      <c r="M78">
        <v>155.4</v>
      </c>
      <c r="N78">
        <v>175.9</v>
      </c>
      <c r="O78">
        <v>171.5</v>
      </c>
      <c r="P78">
        <v>197</v>
      </c>
      <c r="Q78">
        <v>160.80000000000001</v>
      </c>
      <c r="R78">
        <v>144.4</v>
      </c>
      <c r="S78">
        <v>158.30000000000001</v>
      </c>
      <c r="T78">
        <v>163.6</v>
      </c>
      <c r="U78">
        <v>162.19999999999999</v>
      </c>
      <c r="V78">
        <v>154.30000000000001</v>
      </c>
      <c r="W78">
        <v>163.5</v>
      </c>
      <c r="X78">
        <v>152.19999999999999</v>
      </c>
      <c r="Y78">
        <v>155.1</v>
      </c>
      <c r="Z78">
        <v>160.30000000000001</v>
      </c>
      <c r="AA78">
        <v>160.30000000000001</v>
      </c>
      <c r="AB78">
        <v>157</v>
      </c>
      <c r="AC78">
        <v>164.6</v>
      </c>
    </row>
    <row r="79" spans="1:29" x14ac:dyDescent="0.3">
      <c r="A79" s="42">
        <v>44501</v>
      </c>
      <c r="B79" s="43">
        <v>80.637301023809528</v>
      </c>
      <c r="C79">
        <v>151</v>
      </c>
      <c r="D79">
        <v>204.9</v>
      </c>
      <c r="E79">
        <v>175.4</v>
      </c>
      <c r="F79">
        <v>159.6</v>
      </c>
      <c r="G79">
        <v>175.8</v>
      </c>
      <c r="H79">
        <v>160.30000000000001</v>
      </c>
      <c r="I79">
        <v>229.1</v>
      </c>
      <c r="J79">
        <v>165.1</v>
      </c>
      <c r="K79">
        <v>123.1</v>
      </c>
      <c r="L79">
        <v>167.2</v>
      </c>
      <c r="M79">
        <v>156.1</v>
      </c>
      <c r="N79">
        <v>176.8</v>
      </c>
      <c r="O79">
        <v>173.5</v>
      </c>
      <c r="P79">
        <v>197</v>
      </c>
      <c r="Q79">
        <v>162.30000000000001</v>
      </c>
      <c r="R79">
        <v>145.30000000000001</v>
      </c>
      <c r="S79">
        <v>159.69999999999999</v>
      </c>
      <c r="T79">
        <v>164.2</v>
      </c>
      <c r="U79">
        <v>161.6</v>
      </c>
      <c r="V79">
        <v>155.19999999999999</v>
      </c>
      <c r="W79">
        <v>164.2</v>
      </c>
      <c r="X79">
        <v>151.19999999999999</v>
      </c>
      <c r="Y79">
        <v>156.69999999999999</v>
      </c>
      <c r="Z79">
        <v>160.80000000000001</v>
      </c>
      <c r="AA79">
        <v>161.80000000000001</v>
      </c>
      <c r="AB79">
        <v>157.30000000000001</v>
      </c>
      <c r="AC79">
        <v>165.6</v>
      </c>
    </row>
    <row r="80" spans="1:29" x14ac:dyDescent="0.3">
      <c r="A80" s="42">
        <v>44531</v>
      </c>
      <c r="B80" s="43">
        <v>73.298823523809531</v>
      </c>
      <c r="C80">
        <v>151.6</v>
      </c>
      <c r="D80">
        <v>202.2</v>
      </c>
      <c r="E80">
        <v>180</v>
      </c>
      <c r="F80">
        <v>160</v>
      </c>
      <c r="G80">
        <v>173.5</v>
      </c>
      <c r="H80">
        <v>158.30000000000001</v>
      </c>
      <c r="I80">
        <v>219.5</v>
      </c>
      <c r="J80">
        <v>164.2</v>
      </c>
      <c r="K80">
        <v>121.9</v>
      </c>
      <c r="L80">
        <v>168.2</v>
      </c>
      <c r="M80">
        <v>156.5</v>
      </c>
      <c r="N80">
        <v>178.2</v>
      </c>
      <c r="O80">
        <v>172.2</v>
      </c>
      <c r="P80">
        <v>196.8</v>
      </c>
      <c r="Q80">
        <v>163.30000000000001</v>
      </c>
      <c r="R80">
        <v>146.69999999999999</v>
      </c>
      <c r="S80">
        <v>160.69999999999999</v>
      </c>
      <c r="T80">
        <v>163.4</v>
      </c>
      <c r="U80">
        <v>161.69999999999999</v>
      </c>
      <c r="V80">
        <v>156</v>
      </c>
      <c r="W80">
        <v>165.1</v>
      </c>
      <c r="X80">
        <v>151.80000000000001</v>
      </c>
      <c r="Y80">
        <v>157.6</v>
      </c>
      <c r="Z80">
        <v>160.6</v>
      </c>
      <c r="AA80">
        <v>162.4</v>
      </c>
      <c r="AB80">
        <v>157.80000000000001</v>
      </c>
      <c r="AC80">
        <v>165.2</v>
      </c>
    </row>
    <row r="81" spans="1:29" x14ac:dyDescent="0.3">
      <c r="A81" s="42">
        <v>44562</v>
      </c>
      <c r="B81" s="43">
        <v>84.666318799999985</v>
      </c>
      <c r="C81">
        <v>152.19999999999999</v>
      </c>
      <c r="D81">
        <v>202.1</v>
      </c>
      <c r="E81">
        <v>180.1</v>
      </c>
      <c r="F81">
        <v>160.4</v>
      </c>
      <c r="G81">
        <v>171</v>
      </c>
      <c r="H81">
        <v>156.5</v>
      </c>
      <c r="I81">
        <v>203.6</v>
      </c>
      <c r="J81">
        <v>163.80000000000001</v>
      </c>
      <c r="K81">
        <v>121.3</v>
      </c>
      <c r="L81">
        <v>169.8</v>
      </c>
      <c r="M81">
        <v>156.6</v>
      </c>
      <c r="N81">
        <v>179</v>
      </c>
      <c r="O81">
        <v>170.3</v>
      </c>
      <c r="P81">
        <v>196.4</v>
      </c>
      <c r="Q81">
        <v>164.7</v>
      </c>
      <c r="R81">
        <v>148.5</v>
      </c>
      <c r="S81">
        <v>162.19999999999999</v>
      </c>
      <c r="T81">
        <v>164.5</v>
      </c>
      <c r="U81">
        <v>161.6</v>
      </c>
      <c r="V81">
        <v>156.80000000000001</v>
      </c>
      <c r="W81">
        <v>166.1</v>
      </c>
      <c r="X81">
        <v>152.69999999999999</v>
      </c>
      <c r="Y81">
        <v>158.4</v>
      </c>
      <c r="Z81">
        <v>161</v>
      </c>
      <c r="AA81">
        <v>162.80000000000001</v>
      </c>
      <c r="AB81">
        <v>158.6</v>
      </c>
      <c r="AC81">
        <v>165</v>
      </c>
    </row>
    <row r="82" spans="1:29" x14ac:dyDescent="0.3">
      <c r="A82" s="42">
        <v>44593</v>
      </c>
      <c r="B82" s="43">
        <v>94.067715194444446</v>
      </c>
      <c r="C82">
        <v>152.5</v>
      </c>
      <c r="D82">
        <v>205.2</v>
      </c>
      <c r="E82">
        <v>176.4</v>
      </c>
      <c r="F82">
        <v>160.6</v>
      </c>
      <c r="G82">
        <v>171.5</v>
      </c>
      <c r="H82">
        <v>156.4</v>
      </c>
      <c r="I82">
        <v>198</v>
      </c>
      <c r="J82">
        <v>163.19999999999999</v>
      </c>
      <c r="K82">
        <v>120.6</v>
      </c>
      <c r="L82">
        <v>172.2</v>
      </c>
      <c r="M82">
        <v>156.69999999999999</v>
      </c>
      <c r="N82">
        <v>180</v>
      </c>
      <c r="O82">
        <v>170.2</v>
      </c>
      <c r="P82">
        <v>196.5</v>
      </c>
      <c r="Q82">
        <v>165.7</v>
      </c>
      <c r="R82">
        <v>150.4</v>
      </c>
      <c r="S82">
        <v>163.4</v>
      </c>
      <c r="T82">
        <v>165.5</v>
      </c>
      <c r="U82">
        <v>163</v>
      </c>
      <c r="V82">
        <v>157.4</v>
      </c>
      <c r="W82">
        <v>167.2</v>
      </c>
      <c r="X82">
        <v>153.1</v>
      </c>
      <c r="Y82">
        <v>159.5</v>
      </c>
      <c r="Z82">
        <v>162</v>
      </c>
      <c r="AA82">
        <v>164.2</v>
      </c>
      <c r="AB82">
        <v>159.4</v>
      </c>
      <c r="AC82">
        <v>165.5</v>
      </c>
    </row>
    <row r="83" spans="1:29" x14ac:dyDescent="0.3">
      <c r="A83" s="42">
        <v>44621</v>
      </c>
      <c r="B83" s="43">
        <v>112.87479254347826</v>
      </c>
      <c r="C83">
        <v>153.69999999999999</v>
      </c>
      <c r="D83">
        <v>215.8</v>
      </c>
      <c r="E83">
        <v>167.7</v>
      </c>
      <c r="F83">
        <v>162.6</v>
      </c>
      <c r="G83">
        <v>180</v>
      </c>
      <c r="H83">
        <v>159.6</v>
      </c>
      <c r="I83">
        <v>188.4</v>
      </c>
      <c r="J83">
        <v>163.4</v>
      </c>
      <c r="K83">
        <v>120.3</v>
      </c>
      <c r="L83">
        <v>174.7</v>
      </c>
      <c r="M83">
        <v>157.1</v>
      </c>
      <c r="N83">
        <v>181.5</v>
      </c>
      <c r="O83">
        <v>171.5</v>
      </c>
      <c r="P83">
        <v>197.5</v>
      </c>
      <c r="Q83">
        <v>167.1</v>
      </c>
      <c r="R83">
        <v>152.6</v>
      </c>
      <c r="S83">
        <v>164.9</v>
      </c>
      <c r="T83">
        <v>165.3</v>
      </c>
      <c r="U83">
        <v>164.5</v>
      </c>
      <c r="V83">
        <v>158.6</v>
      </c>
      <c r="W83">
        <v>168.2</v>
      </c>
      <c r="X83">
        <v>154.19999999999999</v>
      </c>
      <c r="Y83">
        <v>160.80000000000001</v>
      </c>
      <c r="Z83">
        <v>162.69999999999999</v>
      </c>
      <c r="AA83">
        <v>166.8</v>
      </c>
      <c r="AB83">
        <v>160.6</v>
      </c>
      <c r="AC83">
        <v>166.5</v>
      </c>
    </row>
    <row r="84" spans="1:29" x14ac:dyDescent="0.3">
      <c r="A84" s="42">
        <v>44652</v>
      </c>
      <c r="B84" s="43">
        <v>102.96599786842103</v>
      </c>
      <c r="C84">
        <v>155.4</v>
      </c>
      <c r="D84">
        <v>215.8</v>
      </c>
      <c r="E84">
        <v>164.6</v>
      </c>
      <c r="F84">
        <v>164.2</v>
      </c>
      <c r="G84">
        <v>186</v>
      </c>
      <c r="H84">
        <v>175.9</v>
      </c>
      <c r="I84">
        <v>190.7</v>
      </c>
      <c r="J84">
        <v>164</v>
      </c>
      <c r="K84">
        <v>120.5</v>
      </c>
      <c r="L84">
        <v>178</v>
      </c>
      <c r="M84">
        <v>157.5</v>
      </c>
      <c r="N84">
        <v>183.3</v>
      </c>
      <c r="O84">
        <v>174.5</v>
      </c>
      <c r="P84">
        <v>197.1</v>
      </c>
      <c r="Q84">
        <v>168.4</v>
      </c>
      <c r="R84">
        <v>154.5</v>
      </c>
      <c r="S84">
        <v>166.3</v>
      </c>
      <c r="T84">
        <v>167</v>
      </c>
      <c r="U84">
        <v>170.5</v>
      </c>
      <c r="V84">
        <v>159.80000000000001</v>
      </c>
      <c r="W84">
        <v>169</v>
      </c>
      <c r="X84">
        <v>159.30000000000001</v>
      </c>
      <c r="Y84">
        <v>162.19999999999999</v>
      </c>
      <c r="Z84">
        <v>164</v>
      </c>
      <c r="AA84">
        <v>168.4</v>
      </c>
      <c r="AB84">
        <v>163.1</v>
      </c>
      <c r="AC84">
        <v>169.2</v>
      </c>
    </row>
    <row r="85" spans="1:29" x14ac:dyDescent="0.3">
      <c r="A85" s="42">
        <v>44682</v>
      </c>
      <c r="B85" s="43">
        <v>109.50503773684208</v>
      </c>
      <c r="C85">
        <v>156.69999999999999</v>
      </c>
      <c r="D85">
        <v>221.2</v>
      </c>
      <c r="E85">
        <v>164.1</v>
      </c>
      <c r="F85">
        <v>165.4</v>
      </c>
      <c r="G85">
        <v>189.5</v>
      </c>
      <c r="H85">
        <v>174.5</v>
      </c>
      <c r="I85">
        <v>203.2</v>
      </c>
      <c r="J85">
        <v>164.1</v>
      </c>
      <c r="K85">
        <v>121.2</v>
      </c>
      <c r="L85">
        <v>181.4</v>
      </c>
      <c r="M85">
        <v>158.5</v>
      </c>
      <c r="N85">
        <v>184.9</v>
      </c>
      <c r="O85">
        <v>177.5</v>
      </c>
      <c r="P85">
        <v>197.5</v>
      </c>
      <c r="Q85">
        <v>170</v>
      </c>
      <c r="R85">
        <v>155.9</v>
      </c>
      <c r="S85">
        <v>167.8</v>
      </c>
      <c r="T85">
        <v>167.5</v>
      </c>
      <c r="U85">
        <v>173.5</v>
      </c>
      <c r="V85">
        <v>161.1</v>
      </c>
      <c r="W85">
        <v>170.1</v>
      </c>
      <c r="X85">
        <v>159.4</v>
      </c>
      <c r="Y85">
        <v>163.19999999999999</v>
      </c>
      <c r="Z85">
        <v>165.2</v>
      </c>
      <c r="AA85">
        <v>168.2</v>
      </c>
      <c r="AB85">
        <v>163.80000000000001</v>
      </c>
      <c r="AC85">
        <v>170.8</v>
      </c>
    </row>
    <row r="86" spans="1:29" x14ac:dyDescent="0.3">
      <c r="A86" s="42">
        <v>44713</v>
      </c>
      <c r="B86" s="43">
        <v>116.01138504999999</v>
      </c>
      <c r="C86">
        <v>157.5</v>
      </c>
      <c r="D86">
        <v>223.4</v>
      </c>
      <c r="E86">
        <v>172.8</v>
      </c>
      <c r="F86">
        <v>166.4</v>
      </c>
      <c r="G86">
        <v>188.6</v>
      </c>
      <c r="H86">
        <v>174.1</v>
      </c>
      <c r="I86">
        <v>211.5</v>
      </c>
      <c r="J86">
        <v>163.6</v>
      </c>
      <c r="K86">
        <v>121.4</v>
      </c>
      <c r="L86">
        <v>183.5</v>
      </c>
      <c r="M86">
        <v>159.1</v>
      </c>
      <c r="N86">
        <v>186.3</v>
      </c>
      <c r="O86">
        <v>179.3</v>
      </c>
      <c r="P86">
        <v>198.3</v>
      </c>
      <c r="Q86">
        <v>171.6</v>
      </c>
      <c r="R86">
        <v>157.4</v>
      </c>
      <c r="S86">
        <v>169.4</v>
      </c>
      <c r="T86">
        <v>166.8</v>
      </c>
      <c r="U86">
        <v>174.9</v>
      </c>
      <c r="V86">
        <v>162.1</v>
      </c>
      <c r="W86">
        <v>170.9</v>
      </c>
      <c r="X86">
        <v>157.19999999999999</v>
      </c>
      <c r="Y86">
        <v>164.1</v>
      </c>
      <c r="Z86">
        <v>166.5</v>
      </c>
      <c r="AA86">
        <v>169.2</v>
      </c>
      <c r="AB86">
        <v>163.80000000000001</v>
      </c>
      <c r="AC86">
        <v>171.4</v>
      </c>
    </row>
    <row r="87" spans="1:29" x14ac:dyDescent="0.3">
      <c r="A87" s="42">
        <v>44743</v>
      </c>
      <c r="B87" s="43">
        <v>105.49124737500001</v>
      </c>
      <c r="C87">
        <v>159.30000000000001</v>
      </c>
      <c r="D87">
        <v>217.1</v>
      </c>
      <c r="E87">
        <v>176.6</v>
      </c>
      <c r="F87">
        <v>167.1</v>
      </c>
      <c r="G87">
        <v>184.8</v>
      </c>
      <c r="H87">
        <v>179.5</v>
      </c>
      <c r="I87">
        <v>208.5</v>
      </c>
      <c r="J87">
        <v>164</v>
      </c>
      <c r="K87">
        <v>121.5</v>
      </c>
      <c r="L87">
        <v>186.3</v>
      </c>
      <c r="M87">
        <v>159.80000000000001</v>
      </c>
      <c r="N87">
        <v>187.7</v>
      </c>
      <c r="O87">
        <v>179.4</v>
      </c>
      <c r="P87">
        <v>198.6</v>
      </c>
      <c r="Q87">
        <v>172.7</v>
      </c>
      <c r="R87">
        <v>158.69999999999999</v>
      </c>
      <c r="S87">
        <v>170.6</v>
      </c>
      <c r="T87">
        <v>167.8</v>
      </c>
      <c r="U87">
        <v>179.5</v>
      </c>
      <c r="V87">
        <v>163.1</v>
      </c>
      <c r="W87">
        <v>171.7</v>
      </c>
      <c r="X87">
        <v>157.4</v>
      </c>
      <c r="Y87">
        <v>164.6</v>
      </c>
      <c r="Z87">
        <v>169.1</v>
      </c>
      <c r="AA87">
        <v>169.8</v>
      </c>
      <c r="AB87">
        <v>164.7</v>
      </c>
      <c r="AC87">
        <v>172.3</v>
      </c>
    </row>
    <row r="88" spans="1:29" x14ac:dyDescent="0.3">
      <c r="A88" s="42">
        <v>44774</v>
      </c>
      <c r="B88" s="43">
        <v>97.404465428571427</v>
      </c>
      <c r="C88">
        <v>162.1</v>
      </c>
      <c r="D88">
        <v>210.9</v>
      </c>
      <c r="E88">
        <v>170.6</v>
      </c>
      <c r="F88">
        <v>168.4</v>
      </c>
      <c r="G88">
        <v>182.5</v>
      </c>
      <c r="H88">
        <v>177.1</v>
      </c>
      <c r="I88">
        <v>213.1</v>
      </c>
      <c r="J88">
        <v>167.3</v>
      </c>
      <c r="K88">
        <v>122.2</v>
      </c>
      <c r="L88">
        <v>189.7</v>
      </c>
      <c r="M88">
        <v>160.5</v>
      </c>
      <c r="N88">
        <v>188.9</v>
      </c>
      <c r="O88">
        <v>180.4</v>
      </c>
      <c r="P88">
        <v>198.7</v>
      </c>
      <c r="Q88">
        <v>173.7</v>
      </c>
      <c r="R88">
        <v>160</v>
      </c>
      <c r="S88">
        <v>171.6</v>
      </c>
      <c r="T88">
        <v>169</v>
      </c>
      <c r="U88">
        <v>178.4</v>
      </c>
      <c r="V88">
        <v>164.2</v>
      </c>
      <c r="W88">
        <v>172.6</v>
      </c>
      <c r="X88">
        <v>157.69999999999999</v>
      </c>
      <c r="Y88">
        <v>165.1</v>
      </c>
      <c r="Z88">
        <v>169.9</v>
      </c>
      <c r="AA88">
        <v>171.4</v>
      </c>
      <c r="AB88">
        <v>165.4</v>
      </c>
      <c r="AC88">
        <v>173.1</v>
      </c>
    </row>
    <row r="89" spans="1:29" x14ac:dyDescent="0.3">
      <c r="A89" s="42">
        <v>44805</v>
      </c>
      <c r="B89" s="43">
        <v>90.706344809523813</v>
      </c>
      <c r="C89">
        <v>164.9</v>
      </c>
      <c r="D89">
        <v>213.7</v>
      </c>
      <c r="E89">
        <v>170.9</v>
      </c>
      <c r="F89">
        <v>170.1</v>
      </c>
      <c r="G89">
        <v>179.3</v>
      </c>
      <c r="H89">
        <v>167.5</v>
      </c>
      <c r="I89">
        <v>220.8</v>
      </c>
      <c r="J89">
        <v>169.2</v>
      </c>
      <c r="K89">
        <v>123.1</v>
      </c>
      <c r="L89">
        <v>193.6</v>
      </c>
      <c r="M89">
        <v>161.1</v>
      </c>
      <c r="N89">
        <v>190.4</v>
      </c>
      <c r="O89">
        <v>181.8</v>
      </c>
      <c r="P89">
        <v>199.7</v>
      </c>
      <c r="Q89">
        <v>175</v>
      </c>
      <c r="R89">
        <v>161.69999999999999</v>
      </c>
      <c r="S89">
        <v>173</v>
      </c>
      <c r="T89">
        <v>169.5</v>
      </c>
      <c r="U89">
        <v>179.2</v>
      </c>
      <c r="V89">
        <v>165</v>
      </c>
      <c r="W89">
        <v>173.8</v>
      </c>
      <c r="X89">
        <v>158.19999999999999</v>
      </c>
      <c r="Y89">
        <v>165.8</v>
      </c>
      <c r="Z89">
        <v>170.9</v>
      </c>
      <c r="AA89">
        <v>171.1</v>
      </c>
      <c r="AB89">
        <v>166.1</v>
      </c>
      <c r="AC89">
        <v>174.1</v>
      </c>
    </row>
    <row r="90" spans="1:29" x14ac:dyDescent="0.3">
      <c r="A90" s="42">
        <v>44835</v>
      </c>
      <c r="B90" s="43">
        <v>91.698948700000003</v>
      </c>
      <c r="C90">
        <v>166.4</v>
      </c>
      <c r="D90">
        <v>214.9</v>
      </c>
      <c r="E90">
        <v>171.9</v>
      </c>
      <c r="F90">
        <v>171</v>
      </c>
      <c r="G90">
        <v>177.7</v>
      </c>
      <c r="H90">
        <v>165.7</v>
      </c>
      <c r="I90">
        <v>228.6</v>
      </c>
      <c r="J90">
        <v>169.9</v>
      </c>
      <c r="K90">
        <v>123.4</v>
      </c>
      <c r="L90">
        <v>196.4</v>
      </c>
      <c r="M90">
        <v>161.6</v>
      </c>
      <c r="N90">
        <v>191.5</v>
      </c>
      <c r="O90">
        <v>183.3</v>
      </c>
      <c r="P90">
        <v>200.1</v>
      </c>
      <c r="Q90">
        <v>175.5</v>
      </c>
      <c r="R90">
        <v>162.6</v>
      </c>
      <c r="S90">
        <v>173.6</v>
      </c>
      <c r="T90">
        <v>171.2</v>
      </c>
      <c r="U90">
        <v>180</v>
      </c>
      <c r="V90">
        <v>166</v>
      </c>
      <c r="W90">
        <v>174.7</v>
      </c>
      <c r="X90">
        <v>158.80000000000001</v>
      </c>
      <c r="Y90">
        <v>166.3</v>
      </c>
      <c r="Z90">
        <v>171.2</v>
      </c>
      <c r="AA90">
        <v>172.3</v>
      </c>
      <c r="AB90">
        <v>166.8</v>
      </c>
      <c r="AC90">
        <v>175.3</v>
      </c>
    </row>
    <row r="91" spans="1:29" x14ac:dyDescent="0.3">
      <c r="A91" s="42">
        <v>44866</v>
      </c>
      <c r="B91" s="43">
        <v>87.552266068181822</v>
      </c>
      <c r="C91">
        <v>168.4</v>
      </c>
      <c r="D91">
        <v>213.4</v>
      </c>
      <c r="E91">
        <v>183.2</v>
      </c>
      <c r="F91">
        <v>172.3</v>
      </c>
      <c r="G91">
        <v>180</v>
      </c>
      <c r="H91">
        <v>162.6</v>
      </c>
      <c r="I91">
        <v>205.5</v>
      </c>
      <c r="J91">
        <v>171</v>
      </c>
      <c r="K91">
        <v>123.4</v>
      </c>
      <c r="L91">
        <v>198.8</v>
      </c>
      <c r="M91">
        <v>162.1</v>
      </c>
      <c r="N91">
        <v>192.4</v>
      </c>
      <c r="O91">
        <v>181.3</v>
      </c>
      <c r="P91">
        <v>200.6</v>
      </c>
      <c r="Q91">
        <v>176.7</v>
      </c>
      <c r="R91">
        <v>163.5</v>
      </c>
      <c r="S91">
        <v>174.7</v>
      </c>
      <c r="T91">
        <v>171.8</v>
      </c>
      <c r="U91">
        <v>180.3</v>
      </c>
      <c r="V91">
        <v>166.9</v>
      </c>
      <c r="W91">
        <v>175.8</v>
      </c>
      <c r="X91">
        <v>158.9</v>
      </c>
      <c r="Y91">
        <v>166.7</v>
      </c>
      <c r="Z91">
        <v>171.5</v>
      </c>
      <c r="AA91">
        <v>173.8</v>
      </c>
      <c r="AB91">
        <v>167.4</v>
      </c>
      <c r="AC91">
        <v>174.1</v>
      </c>
    </row>
    <row r="92" spans="1:29" x14ac:dyDescent="0.3">
      <c r="A92" s="42">
        <v>44896</v>
      </c>
      <c r="B92" s="43">
        <v>78.100942275000008</v>
      </c>
      <c r="C92">
        <v>170.2</v>
      </c>
      <c r="D92">
        <v>212.9</v>
      </c>
      <c r="E92">
        <v>191.9</v>
      </c>
      <c r="F92">
        <v>173.9</v>
      </c>
      <c r="G92">
        <v>179.1</v>
      </c>
      <c r="H92">
        <v>159.5</v>
      </c>
      <c r="I92">
        <v>178.7</v>
      </c>
      <c r="J92">
        <v>171.3</v>
      </c>
      <c r="K92">
        <v>123.1</v>
      </c>
      <c r="L92">
        <v>200.5</v>
      </c>
      <c r="M92">
        <v>162.80000000000001</v>
      </c>
      <c r="N92">
        <v>193.3</v>
      </c>
      <c r="O92">
        <v>178.6</v>
      </c>
      <c r="P92">
        <v>201.1</v>
      </c>
      <c r="Q92">
        <v>177.7</v>
      </c>
      <c r="R92">
        <v>164.5</v>
      </c>
      <c r="S92">
        <v>175.7</v>
      </c>
      <c r="T92">
        <v>170.7</v>
      </c>
      <c r="U92">
        <v>180.6</v>
      </c>
      <c r="V92">
        <v>167.3</v>
      </c>
      <c r="W92">
        <v>177.2</v>
      </c>
      <c r="X92">
        <v>159.4</v>
      </c>
      <c r="Y92">
        <v>167.1</v>
      </c>
      <c r="Z92">
        <v>171.8</v>
      </c>
      <c r="AA92">
        <v>176</v>
      </c>
      <c r="AB92">
        <v>168.2</v>
      </c>
      <c r="AC92">
        <v>174.1</v>
      </c>
    </row>
    <row r="97" spans="2:10" ht="21" x14ac:dyDescent="0.4">
      <c r="B97" s="50" t="s">
        <v>99</v>
      </c>
      <c r="C97" s="51" t="s">
        <v>100</v>
      </c>
    </row>
    <row r="98" spans="2:10" x14ac:dyDescent="0.3">
      <c r="B98" s="1" t="s">
        <v>3</v>
      </c>
      <c r="C98" s="43">
        <v>0.5178755737890588</v>
      </c>
    </row>
    <row r="99" spans="2:10" x14ac:dyDescent="0.3">
      <c r="B99" s="1" t="s">
        <v>4</v>
      </c>
      <c r="C99" s="43">
        <v>0.85586992381541083</v>
      </c>
    </row>
    <row r="100" spans="2:10" x14ac:dyDescent="0.3">
      <c r="B100" s="1" t="s">
        <v>5</v>
      </c>
      <c r="C100" s="44">
        <v>-0.24788711146731129</v>
      </c>
    </row>
    <row r="101" spans="2:10" x14ac:dyDescent="0.3">
      <c r="B101" s="1" t="s">
        <v>6</v>
      </c>
      <c r="C101" s="43">
        <v>0.63625804022224308</v>
      </c>
    </row>
    <row r="102" spans="2:10" x14ac:dyDescent="0.3">
      <c r="B102" s="1" t="s">
        <v>7</v>
      </c>
      <c r="C102" s="43">
        <v>0.83897303864459927</v>
      </c>
    </row>
    <row r="103" spans="2:10" x14ac:dyDescent="0.3">
      <c r="B103" s="1" t="s">
        <v>8</v>
      </c>
      <c r="C103" s="43">
        <v>0.5063193551106222</v>
      </c>
    </row>
    <row r="104" spans="2:10" x14ac:dyDescent="0.3">
      <c r="B104" s="1" t="s">
        <v>9</v>
      </c>
      <c r="C104" s="43">
        <v>0.44664634929046448</v>
      </c>
    </row>
    <row r="105" spans="2:10" ht="33.6" x14ac:dyDescent="0.65">
      <c r="B105" s="1" t="s">
        <v>10</v>
      </c>
      <c r="C105" s="43">
        <v>0.18641082304095971</v>
      </c>
      <c r="J105" s="47"/>
    </row>
    <row r="106" spans="2:10" x14ac:dyDescent="0.3">
      <c r="B106" s="1" t="s">
        <v>11</v>
      </c>
      <c r="C106" s="43">
        <v>0.6093163684496512</v>
      </c>
    </row>
    <row r="107" spans="2:10" x14ac:dyDescent="0.3">
      <c r="B107" s="1" t="s">
        <v>12</v>
      </c>
      <c r="C107" s="43">
        <v>0.5825400691775251</v>
      </c>
    </row>
    <row r="108" spans="2:10" ht="33.6" x14ac:dyDescent="0.65">
      <c r="B108" s="1" t="s">
        <v>13</v>
      </c>
      <c r="C108" s="43">
        <v>0.71845938788044106</v>
      </c>
      <c r="J108" s="47" t="s">
        <v>86</v>
      </c>
    </row>
    <row r="109" spans="2:10" ht="21" x14ac:dyDescent="0.4">
      <c r="B109" s="1" t="s">
        <v>14</v>
      </c>
      <c r="C109" s="43">
        <v>0.71320949781064213</v>
      </c>
      <c r="J109" s="48" t="s">
        <v>98</v>
      </c>
    </row>
    <row r="110" spans="2:10" x14ac:dyDescent="0.3">
      <c r="B110" s="1" t="s">
        <v>15</v>
      </c>
      <c r="C110" s="43">
        <v>0.7382281956874438</v>
      </c>
    </row>
    <row r="111" spans="2:10" x14ac:dyDescent="0.3">
      <c r="B111" s="1" t="s">
        <v>16</v>
      </c>
      <c r="C111" s="43">
        <v>0.58714496212221723</v>
      </c>
    </row>
    <row r="112" spans="2:10" x14ac:dyDescent="0.3">
      <c r="B112" s="1" t="s">
        <v>17</v>
      </c>
      <c r="C112" s="43">
        <v>0.7374105270872896</v>
      </c>
    </row>
    <row r="113" spans="1:3" x14ac:dyDescent="0.3">
      <c r="B113" s="1" t="s">
        <v>18</v>
      </c>
      <c r="C113" s="43">
        <v>0.7330263215885493</v>
      </c>
    </row>
    <row r="114" spans="1:3" x14ac:dyDescent="0.3">
      <c r="B114" s="1" t="s">
        <v>19</v>
      </c>
      <c r="C114" s="43">
        <v>0.73626586288675255</v>
      </c>
    </row>
    <row r="115" spans="1:3" x14ac:dyDescent="0.3">
      <c r="B115" s="1" t="s">
        <v>20</v>
      </c>
      <c r="C115" s="43">
        <v>0.69787802521406628</v>
      </c>
    </row>
    <row r="116" spans="1:3" x14ac:dyDescent="0.3">
      <c r="B116" s="1" t="s">
        <v>21</v>
      </c>
      <c r="C116" s="43">
        <v>0.73019600969620957</v>
      </c>
    </row>
    <row r="117" spans="1:3" x14ac:dyDescent="0.3">
      <c r="B117" s="1" t="s">
        <v>22</v>
      </c>
      <c r="C117" s="43">
        <v>0.73954974442444255</v>
      </c>
    </row>
    <row r="118" spans="1:3" x14ac:dyDescent="0.3">
      <c r="B118" s="1" t="s">
        <v>23</v>
      </c>
      <c r="C118" s="43">
        <v>0.73234669702372779</v>
      </c>
    </row>
    <row r="119" spans="1:3" x14ac:dyDescent="0.3">
      <c r="B119" s="1" t="s">
        <v>24</v>
      </c>
      <c r="C119" s="43">
        <v>0.81562092086659066</v>
      </c>
    </row>
    <row r="120" spans="1:3" x14ac:dyDescent="0.3">
      <c r="B120" s="1" t="s">
        <v>25</v>
      </c>
      <c r="C120" s="43">
        <v>0.79402389502487636</v>
      </c>
    </row>
    <row r="121" spans="1:3" x14ac:dyDescent="0.3">
      <c r="B121" s="1" t="s">
        <v>26</v>
      </c>
      <c r="C121" s="43">
        <v>0.64128243784824446</v>
      </c>
    </row>
    <row r="122" spans="1:3" x14ac:dyDescent="0.3">
      <c r="B122" s="1" t="s">
        <v>27</v>
      </c>
      <c r="C122" s="43">
        <v>0.71308767170202558</v>
      </c>
    </row>
    <row r="123" spans="1:3" x14ac:dyDescent="0.3">
      <c r="B123" s="1" t="s">
        <v>28</v>
      </c>
      <c r="C123" s="43">
        <v>0.76779658520961469</v>
      </c>
    </row>
    <row r="124" spans="1:3" x14ac:dyDescent="0.3">
      <c r="B124" s="1" t="s">
        <v>29</v>
      </c>
      <c r="C124" s="43">
        <v>0.7539555441681991</v>
      </c>
    </row>
    <row r="128" spans="1:3" ht="25.8" x14ac:dyDescent="0.5">
      <c r="A128" s="54" t="s">
        <v>66</v>
      </c>
    </row>
    <row r="130" spans="1:29" x14ac:dyDescent="0.3">
      <c r="C130" s="43">
        <f>CORREL($B$132:$B$155,C132:C155)</f>
        <v>0.50782673928104072</v>
      </c>
      <c r="D130" s="43">
        <f t="shared" ref="D130:AC130" si="3">CORREL($B$132:$B$155,D132:D155)</f>
        <v>0.84191192019168415</v>
      </c>
      <c r="E130" s="44">
        <f t="shared" si="3"/>
        <v>-0.2036224701816976</v>
      </c>
      <c r="F130" s="43">
        <f t="shared" si="3"/>
        <v>0.63436438765675618</v>
      </c>
      <c r="G130" s="43">
        <f t="shared" si="3"/>
        <v>0.82620259475660895</v>
      </c>
      <c r="H130" s="43">
        <f t="shared" si="3"/>
        <v>0.59139323105135344</v>
      </c>
      <c r="I130" s="43">
        <f t="shared" si="3"/>
        <v>0.35074653398470973</v>
      </c>
      <c r="J130" s="43">
        <f t="shared" si="3"/>
        <v>0.36427003644529937</v>
      </c>
      <c r="K130" s="43">
        <f t="shared" si="3"/>
        <v>0.56709729181669644</v>
      </c>
      <c r="L130" s="43">
        <f t="shared" si="3"/>
        <v>0.59053727341757856</v>
      </c>
      <c r="M130" s="43">
        <f t="shared" si="3"/>
        <v>0.75260403886846317</v>
      </c>
      <c r="N130" s="43">
        <f t="shared" si="3"/>
        <v>0.71816936627720163</v>
      </c>
      <c r="O130" s="43">
        <f t="shared" si="3"/>
        <v>0.71771593094288821</v>
      </c>
      <c r="P130" s="43">
        <f t="shared" si="3"/>
        <v>0.68867161411370348</v>
      </c>
      <c r="Q130" s="43">
        <f t="shared" si="3"/>
        <v>0.73718735666666269</v>
      </c>
      <c r="R130" s="43">
        <f t="shared" si="3"/>
        <v>0.74869562674882939</v>
      </c>
      <c r="S130" s="43">
        <f t="shared" si="3"/>
        <v>0.7393580301817575</v>
      </c>
      <c r="T130" s="43">
        <f t="shared" si="3"/>
        <v>0.69787802521406628</v>
      </c>
      <c r="U130" s="43">
        <f t="shared" si="3"/>
        <v>0.73695384515053841</v>
      </c>
      <c r="V130" s="43">
        <f t="shared" si="3"/>
        <v>0.73037374022525769</v>
      </c>
      <c r="W130" s="43">
        <f t="shared" si="3"/>
        <v>0.73881995293995806</v>
      </c>
      <c r="X130" s="43">
        <f t="shared" si="3"/>
        <v>0.81520166268737893</v>
      </c>
      <c r="Y130" s="43">
        <f t="shared" si="3"/>
        <v>0.78563045522865071</v>
      </c>
      <c r="Z130" s="43">
        <f t="shared" si="3"/>
        <v>0.65313864265722477</v>
      </c>
      <c r="AA130" s="43">
        <f t="shared" si="3"/>
        <v>0.73372084561697026</v>
      </c>
      <c r="AB130" s="43">
        <f t="shared" si="3"/>
        <v>0.76560004102965407</v>
      </c>
      <c r="AC130" s="43">
        <f t="shared" si="3"/>
        <v>0.74098995346190499</v>
      </c>
    </row>
    <row r="131" spans="1:29" x14ac:dyDescent="0.3">
      <c r="A131" s="22" t="s">
        <v>97</v>
      </c>
      <c r="B131" s="22" t="s">
        <v>96</v>
      </c>
      <c r="C131" s="1" t="s">
        <v>3</v>
      </c>
      <c r="D131" s="1" t="s">
        <v>4</v>
      </c>
      <c r="E131" s="1" t="s">
        <v>5</v>
      </c>
      <c r="F131" s="1" t="s">
        <v>6</v>
      </c>
      <c r="G131" s="1" t="s">
        <v>7</v>
      </c>
      <c r="H131" s="1" t="s">
        <v>8</v>
      </c>
      <c r="I131" s="1" t="s">
        <v>9</v>
      </c>
      <c r="J131" s="1" t="s">
        <v>10</v>
      </c>
      <c r="K131" s="1" t="s">
        <v>11</v>
      </c>
      <c r="L131" s="1" t="s">
        <v>12</v>
      </c>
      <c r="M131" s="1" t="s">
        <v>13</v>
      </c>
      <c r="N131" s="1" t="s">
        <v>14</v>
      </c>
      <c r="O131" s="1" t="s">
        <v>15</v>
      </c>
      <c r="P131" s="1" t="s">
        <v>16</v>
      </c>
      <c r="Q131" s="1" t="s">
        <v>17</v>
      </c>
      <c r="R131" s="1" t="s">
        <v>18</v>
      </c>
      <c r="S131" s="1" t="s">
        <v>19</v>
      </c>
      <c r="T131" s="1" t="s">
        <v>20</v>
      </c>
      <c r="U131" s="1" t="s">
        <v>21</v>
      </c>
      <c r="V131" s="1" t="s">
        <v>22</v>
      </c>
      <c r="W131" s="1" t="s">
        <v>23</v>
      </c>
      <c r="X131" s="1" t="s">
        <v>24</v>
      </c>
      <c r="Y131" s="1" t="s">
        <v>25</v>
      </c>
      <c r="Z131" s="1" t="s">
        <v>26</v>
      </c>
      <c r="AA131" s="1" t="s">
        <v>27</v>
      </c>
      <c r="AB131" s="1" t="s">
        <v>28</v>
      </c>
      <c r="AC131" s="1" t="s">
        <v>29</v>
      </c>
    </row>
    <row r="132" spans="1:29" x14ac:dyDescent="0.3">
      <c r="A132" s="42">
        <v>44197</v>
      </c>
      <c r="B132" s="43">
        <v>54.794569624999994</v>
      </c>
      <c r="C132">
        <v>144.9</v>
      </c>
      <c r="D132">
        <v>190.1</v>
      </c>
      <c r="E132">
        <v>175.3</v>
      </c>
      <c r="F132">
        <v>154.1</v>
      </c>
      <c r="G132">
        <v>150.9</v>
      </c>
      <c r="H132">
        <v>149.6</v>
      </c>
      <c r="I132">
        <v>194.2</v>
      </c>
      <c r="J132">
        <v>160.4</v>
      </c>
      <c r="K132">
        <v>114.6</v>
      </c>
      <c r="L132">
        <v>164</v>
      </c>
      <c r="M132">
        <v>151.80000000000001</v>
      </c>
      <c r="N132">
        <v>165.6</v>
      </c>
      <c r="O132">
        <v>161</v>
      </c>
      <c r="P132">
        <v>186.5</v>
      </c>
      <c r="Q132">
        <v>155.5</v>
      </c>
      <c r="R132">
        <v>146.1</v>
      </c>
      <c r="S132">
        <v>154.19999999999999</v>
      </c>
      <c r="T132">
        <v>157.69999999999999</v>
      </c>
      <c r="U132">
        <v>147.9</v>
      </c>
      <c r="V132">
        <v>150</v>
      </c>
      <c r="W132">
        <v>159.30000000000001</v>
      </c>
      <c r="X132">
        <v>141.9</v>
      </c>
      <c r="Y132">
        <v>149.6</v>
      </c>
      <c r="Z132">
        <v>159.19999999999999</v>
      </c>
      <c r="AA132">
        <v>156.80000000000001</v>
      </c>
      <c r="AB132">
        <v>151.9</v>
      </c>
      <c r="AC132">
        <v>157.30000000000001</v>
      </c>
    </row>
    <row r="133" spans="1:29" x14ac:dyDescent="0.3">
      <c r="A133" s="42">
        <v>44228</v>
      </c>
      <c r="B133" s="43">
        <v>61.216117289473672</v>
      </c>
      <c r="C133">
        <v>144.30000000000001</v>
      </c>
      <c r="D133">
        <v>186.5</v>
      </c>
      <c r="E133">
        <v>168.7</v>
      </c>
      <c r="F133">
        <v>154.69999999999999</v>
      </c>
      <c r="G133">
        <v>158.69999999999999</v>
      </c>
      <c r="H133">
        <v>150.69999999999999</v>
      </c>
      <c r="I133">
        <v>160</v>
      </c>
      <c r="J133">
        <v>158.80000000000001</v>
      </c>
      <c r="K133">
        <v>112.8</v>
      </c>
      <c r="L133">
        <v>164.2</v>
      </c>
      <c r="M133">
        <v>155.5</v>
      </c>
      <c r="N133">
        <v>167.5</v>
      </c>
      <c r="O133">
        <v>156.9</v>
      </c>
      <c r="P133">
        <v>188.3</v>
      </c>
      <c r="Q133">
        <v>157.19999999999999</v>
      </c>
      <c r="R133">
        <v>147.4</v>
      </c>
      <c r="S133">
        <v>155.80000000000001</v>
      </c>
      <c r="T133">
        <v>159.80000000000001</v>
      </c>
      <c r="U133">
        <v>152.4</v>
      </c>
      <c r="V133">
        <v>150.9</v>
      </c>
      <c r="W133">
        <v>161.30000000000001</v>
      </c>
      <c r="X133">
        <v>145.1</v>
      </c>
      <c r="Y133">
        <v>151.5</v>
      </c>
      <c r="Z133">
        <v>159.5</v>
      </c>
      <c r="AA133">
        <v>155.80000000000001</v>
      </c>
      <c r="AB133">
        <v>153.4</v>
      </c>
      <c r="AC133">
        <v>156.6</v>
      </c>
    </row>
    <row r="134" spans="1:29" x14ac:dyDescent="0.3">
      <c r="A134" s="42">
        <v>44256</v>
      </c>
      <c r="B134" s="43">
        <v>64.729496782608663</v>
      </c>
      <c r="C134">
        <v>144.1</v>
      </c>
      <c r="D134">
        <v>192.2</v>
      </c>
      <c r="E134">
        <v>163.80000000000001</v>
      </c>
      <c r="F134">
        <v>154.9</v>
      </c>
      <c r="G134">
        <v>163.9</v>
      </c>
      <c r="H134">
        <v>153.69999999999999</v>
      </c>
      <c r="I134">
        <v>149.5</v>
      </c>
      <c r="J134">
        <v>159.80000000000001</v>
      </c>
      <c r="K134">
        <v>112.6</v>
      </c>
      <c r="L134">
        <v>163.5</v>
      </c>
      <c r="M134">
        <v>156.5</v>
      </c>
      <c r="N134">
        <v>168.2</v>
      </c>
      <c r="O134">
        <v>156.69999999999999</v>
      </c>
      <c r="P134">
        <v>188.1</v>
      </c>
      <c r="Q134">
        <v>157.80000000000001</v>
      </c>
      <c r="R134">
        <v>147.9</v>
      </c>
      <c r="S134">
        <v>156.4</v>
      </c>
      <c r="T134">
        <v>159.9</v>
      </c>
      <c r="U134">
        <v>155.5</v>
      </c>
      <c r="V134">
        <v>151.19999999999999</v>
      </c>
      <c r="W134">
        <v>161.69999999999999</v>
      </c>
      <c r="X134">
        <v>146.19999999999999</v>
      </c>
      <c r="Y134">
        <v>152.6</v>
      </c>
      <c r="Z134">
        <v>160.19999999999999</v>
      </c>
      <c r="AA134">
        <v>153.80000000000001</v>
      </c>
      <c r="AB134">
        <v>153.80000000000001</v>
      </c>
      <c r="AC134">
        <v>156.80000000000001</v>
      </c>
    </row>
    <row r="135" spans="1:29" x14ac:dyDescent="0.3">
      <c r="A135" s="42">
        <v>44287</v>
      </c>
      <c r="B135" s="43">
        <v>63.396976500000008</v>
      </c>
      <c r="C135">
        <v>144.30000000000001</v>
      </c>
      <c r="D135">
        <v>198</v>
      </c>
      <c r="E135">
        <v>164.6</v>
      </c>
      <c r="F135">
        <v>155.4</v>
      </c>
      <c r="G135">
        <v>170.1</v>
      </c>
      <c r="H135">
        <v>164.4</v>
      </c>
      <c r="I135">
        <v>144.1</v>
      </c>
      <c r="J135">
        <v>161.69999999999999</v>
      </c>
      <c r="K135">
        <v>113.1</v>
      </c>
      <c r="L135">
        <v>163.9</v>
      </c>
      <c r="M135">
        <v>157.6</v>
      </c>
      <c r="N135">
        <v>168.9</v>
      </c>
      <c r="O135">
        <v>158</v>
      </c>
      <c r="P135">
        <v>188.8</v>
      </c>
      <c r="Q135">
        <v>158.80000000000001</v>
      </c>
      <c r="R135">
        <v>148.5</v>
      </c>
      <c r="S135">
        <v>157.30000000000001</v>
      </c>
      <c r="T135">
        <v>161.4</v>
      </c>
      <c r="U135">
        <v>155.6</v>
      </c>
      <c r="V135">
        <v>151.80000000000001</v>
      </c>
      <c r="W135">
        <v>162.30000000000001</v>
      </c>
      <c r="X135">
        <v>146.6</v>
      </c>
      <c r="Y135">
        <v>153.19999999999999</v>
      </c>
      <c r="Z135">
        <v>160.30000000000001</v>
      </c>
      <c r="AA135">
        <v>155.4</v>
      </c>
      <c r="AB135">
        <v>154.4</v>
      </c>
      <c r="AC135">
        <v>157.80000000000001</v>
      </c>
    </row>
    <row r="136" spans="1:29" x14ac:dyDescent="0.3">
      <c r="A136" s="42">
        <v>44317</v>
      </c>
      <c r="B136" s="43">
        <v>66.953084852941174</v>
      </c>
      <c r="C136">
        <v>146.30000000000001</v>
      </c>
      <c r="D136">
        <v>200.5</v>
      </c>
      <c r="E136">
        <v>170.3</v>
      </c>
      <c r="F136">
        <v>156.1</v>
      </c>
      <c r="G136">
        <v>178.7</v>
      </c>
      <c r="H136">
        <v>167.1</v>
      </c>
      <c r="I136">
        <v>147.9</v>
      </c>
      <c r="J136">
        <v>165.4</v>
      </c>
      <c r="K136">
        <v>114.8</v>
      </c>
      <c r="L136">
        <v>168.2</v>
      </c>
      <c r="M136">
        <v>159.30000000000001</v>
      </c>
      <c r="N136">
        <v>170.4</v>
      </c>
      <c r="O136">
        <v>160.69999999999999</v>
      </c>
      <c r="P136">
        <v>191.9</v>
      </c>
      <c r="Q136">
        <v>161.80000000000001</v>
      </c>
      <c r="R136">
        <v>152.1</v>
      </c>
      <c r="S136">
        <v>160.4</v>
      </c>
      <c r="T136">
        <v>161.6</v>
      </c>
      <c r="U136">
        <v>159.4</v>
      </c>
      <c r="V136">
        <v>154.69999999999999</v>
      </c>
      <c r="W136">
        <v>165.8</v>
      </c>
      <c r="X136">
        <v>148.9</v>
      </c>
      <c r="Y136">
        <v>155.80000000000001</v>
      </c>
      <c r="Z136">
        <v>161.19999999999999</v>
      </c>
      <c r="AA136">
        <v>158.6</v>
      </c>
      <c r="AB136">
        <v>156.80000000000001</v>
      </c>
      <c r="AC136">
        <v>160.4</v>
      </c>
    </row>
    <row r="137" spans="1:29" x14ac:dyDescent="0.3">
      <c r="A137" s="42">
        <v>44348</v>
      </c>
      <c r="B137" s="43">
        <v>71.982647477272721</v>
      </c>
      <c r="C137">
        <v>146.69999999999999</v>
      </c>
      <c r="D137">
        <v>202</v>
      </c>
      <c r="E137">
        <v>180.7</v>
      </c>
      <c r="F137">
        <v>156.19999999999999</v>
      </c>
      <c r="G137">
        <v>183.7</v>
      </c>
      <c r="H137">
        <v>164.6</v>
      </c>
      <c r="I137">
        <v>155.4</v>
      </c>
      <c r="J137">
        <v>166</v>
      </c>
      <c r="K137">
        <v>115.1</v>
      </c>
      <c r="L137">
        <v>168.5</v>
      </c>
      <c r="M137">
        <v>160</v>
      </c>
      <c r="N137">
        <v>172.4</v>
      </c>
      <c r="O137">
        <v>162.6</v>
      </c>
      <c r="P137">
        <v>190.8</v>
      </c>
      <c r="Q137">
        <v>162.19999999999999</v>
      </c>
      <c r="R137">
        <v>151.80000000000001</v>
      </c>
      <c r="S137">
        <v>160.69999999999999</v>
      </c>
      <c r="T137">
        <v>160.5</v>
      </c>
      <c r="U137">
        <v>159.80000000000001</v>
      </c>
      <c r="V137">
        <v>154.80000000000001</v>
      </c>
      <c r="W137">
        <v>166.3</v>
      </c>
      <c r="X137">
        <v>150.69999999999999</v>
      </c>
      <c r="Y137">
        <v>154.9</v>
      </c>
      <c r="Z137">
        <v>161.69999999999999</v>
      </c>
      <c r="AA137">
        <v>158.80000000000001</v>
      </c>
      <c r="AB137">
        <v>157.6</v>
      </c>
      <c r="AC137">
        <v>161.30000000000001</v>
      </c>
    </row>
    <row r="138" spans="1:29" x14ac:dyDescent="0.3">
      <c r="A138" s="42">
        <v>44378</v>
      </c>
      <c r="B138" s="43">
        <v>73.539060523809511</v>
      </c>
      <c r="C138">
        <v>146.4</v>
      </c>
      <c r="D138">
        <v>206.8</v>
      </c>
      <c r="E138">
        <v>182.2</v>
      </c>
      <c r="F138">
        <v>157.5</v>
      </c>
      <c r="G138">
        <v>182.1</v>
      </c>
      <c r="H138">
        <v>163.9</v>
      </c>
      <c r="I138">
        <v>164.2</v>
      </c>
      <c r="J138">
        <v>164</v>
      </c>
      <c r="K138">
        <v>114.5</v>
      </c>
      <c r="L138">
        <v>168.3</v>
      </c>
      <c r="M138">
        <v>160.9</v>
      </c>
      <c r="N138">
        <v>172.2</v>
      </c>
      <c r="O138">
        <v>164</v>
      </c>
      <c r="P138">
        <v>191.2</v>
      </c>
      <c r="Q138">
        <v>162.80000000000001</v>
      </c>
      <c r="R138">
        <v>153.1</v>
      </c>
      <c r="S138">
        <v>161.4</v>
      </c>
      <c r="T138">
        <v>161.5</v>
      </c>
      <c r="U138">
        <v>160.69999999999999</v>
      </c>
      <c r="V138">
        <v>155.80000000000001</v>
      </c>
      <c r="W138">
        <v>167</v>
      </c>
      <c r="X138">
        <v>153.1</v>
      </c>
      <c r="Y138">
        <v>155.30000000000001</v>
      </c>
      <c r="Z138">
        <v>163.19999999999999</v>
      </c>
      <c r="AA138">
        <v>160.1</v>
      </c>
      <c r="AB138">
        <v>159</v>
      </c>
      <c r="AC138">
        <v>162.5</v>
      </c>
    </row>
    <row r="139" spans="1:29" x14ac:dyDescent="0.3">
      <c r="A139" s="42">
        <v>44409</v>
      </c>
      <c r="B139" s="43">
        <v>69.804724424999989</v>
      </c>
      <c r="C139">
        <v>146.6</v>
      </c>
      <c r="D139">
        <v>204</v>
      </c>
      <c r="E139">
        <v>172.8</v>
      </c>
      <c r="F139">
        <v>158.4</v>
      </c>
      <c r="G139">
        <v>188</v>
      </c>
      <c r="H139">
        <v>156.80000000000001</v>
      </c>
      <c r="I139">
        <v>162.19999999999999</v>
      </c>
      <c r="J139">
        <v>164.1</v>
      </c>
      <c r="K139">
        <v>119.7</v>
      </c>
      <c r="L139">
        <v>168.8</v>
      </c>
      <c r="M139">
        <v>162.69999999999999</v>
      </c>
      <c r="N139">
        <v>173.9</v>
      </c>
      <c r="O139">
        <v>164</v>
      </c>
      <c r="P139">
        <v>192.1</v>
      </c>
      <c r="Q139">
        <v>164.5</v>
      </c>
      <c r="R139">
        <v>155.30000000000001</v>
      </c>
      <c r="S139">
        <v>163.19999999999999</v>
      </c>
      <c r="T139">
        <v>162.1</v>
      </c>
      <c r="U139">
        <v>162.6</v>
      </c>
      <c r="V139">
        <v>157.5</v>
      </c>
      <c r="W139">
        <v>168.4</v>
      </c>
      <c r="X139">
        <v>154</v>
      </c>
      <c r="Y139">
        <v>157.6</v>
      </c>
      <c r="Z139">
        <v>163.80000000000001</v>
      </c>
      <c r="AA139">
        <v>160</v>
      </c>
      <c r="AB139">
        <v>160</v>
      </c>
      <c r="AC139">
        <v>163.19999999999999</v>
      </c>
    </row>
    <row r="140" spans="1:29" x14ac:dyDescent="0.3">
      <c r="A140" s="42">
        <v>44440</v>
      </c>
      <c r="B140" s="43">
        <v>73.130738295454549</v>
      </c>
      <c r="C140">
        <v>146.6</v>
      </c>
      <c r="D140">
        <v>204</v>
      </c>
      <c r="E140">
        <v>172.8</v>
      </c>
      <c r="F140">
        <v>158.4</v>
      </c>
      <c r="G140">
        <v>188</v>
      </c>
      <c r="H140">
        <v>156.69999999999999</v>
      </c>
      <c r="I140">
        <v>162.30000000000001</v>
      </c>
      <c r="J140">
        <v>164.1</v>
      </c>
      <c r="K140">
        <v>119.7</v>
      </c>
      <c r="L140">
        <v>168.8</v>
      </c>
      <c r="M140">
        <v>162.69999999999999</v>
      </c>
      <c r="N140">
        <v>173.9</v>
      </c>
      <c r="O140">
        <v>164</v>
      </c>
      <c r="P140">
        <v>192.1</v>
      </c>
      <c r="Q140">
        <v>164.6</v>
      </c>
      <c r="R140">
        <v>155.30000000000001</v>
      </c>
      <c r="S140">
        <v>163.30000000000001</v>
      </c>
      <c r="T140">
        <v>162.1</v>
      </c>
      <c r="U140">
        <v>162.6</v>
      </c>
      <c r="V140">
        <v>157.5</v>
      </c>
      <c r="W140">
        <v>168.4</v>
      </c>
      <c r="X140">
        <v>154</v>
      </c>
      <c r="Y140">
        <v>157.69999999999999</v>
      </c>
      <c r="Z140">
        <v>163.69999999999999</v>
      </c>
      <c r="AA140">
        <v>160</v>
      </c>
      <c r="AB140">
        <v>160</v>
      </c>
      <c r="AC140">
        <v>163.19999999999999</v>
      </c>
    </row>
    <row r="141" spans="1:29" x14ac:dyDescent="0.3">
      <c r="A141" s="42">
        <v>44470</v>
      </c>
      <c r="B141" s="43">
        <v>82.107393785714294</v>
      </c>
      <c r="C141">
        <v>147.4</v>
      </c>
      <c r="D141">
        <v>204.6</v>
      </c>
      <c r="E141">
        <v>171.2</v>
      </c>
      <c r="F141">
        <v>158.69999999999999</v>
      </c>
      <c r="G141">
        <v>190.6</v>
      </c>
      <c r="H141">
        <v>155.69999999999999</v>
      </c>
      <c r="I141">
        <v>185.3</v>
      </c>
      <c r="J141">
        <v>165.2</v>
      </c>
      <c r="K141">
        <v>121.9</v>
      </c>
      <c r="L141">
        <v>169.3</v>
      </c>
      <c r="M141">
        <v>163.19999999999999</v>
      </c>
      <c r="N141">
        <v>174.7</v>
      </c>
      <c r="O141">
        <v>167.7</v>
      </c>
      <c r="P141">
        <v>192.7</v>
      </c>
      <c r="Q141">
        <v>165.7</v>
      </c>
      <c r="R141">
        <v>156.30000000000001</v>
      </c>
      <c r="S141">
        <v>164.3</v>
      </c>
      <c r="T141">
        <v>163.6</v>
      </c>
      <c r="U141">
        <v>164.2</v>
      </c>
      <c r="V141">
        <v>158.4</v>
      </c>
      <c r="W141">
        <v>169.1</v>
      </c>
      <c r="X141">
        <v>155.69999999999999</v>
      </c>
      <c r="Y141">
        <v>158.6</v>
      </c>
      <c r="Z141">
        <v>163.9</v>
      </c>
      <c r="AA141">
        <v>160.80000000000001</v>
      </c>
      <c r="AB141">
        <v>161</v>
      </c>
      <c r="AC141">
        <v>165.5</v>
      </c>
    </row>
    <row r="142" spans="1:29" x14ac:dyDescent="0.3">
      <c r="A142" s="42">
        <v>44501</v>
      </c>
      <c r="B142" s="43">
        <v>80.637301023809528</v>
      </c>
      <c r="C142">
        <v>148.19999999999999</v>
      </c>
      <c r="D142">
        <v>201.6</v>
      </c>
      <c r="E142">
        <v>173</v>
      </c>
      <c r="F142">
        <v>159.30000000000001</v>
      </c>
      <c r="G142">
        <v>190.1</v>
      </c>
      <c r="H142">
        <v>156.5</v>
      </c>
      <c r="I142">
        <v>199.2</v>
      </c>
      <c r="J142">
        <v>165.3</v>
      </c>
      <c r="K142">
        <v>122.4</v>
      </c>
      <c r="L142">
        <v>169.6</v>
      </c>
      <c r="M142">
        <v>163.69999999999999</v>
      </c>
      <c r="N142">
        <v>175.5</v>
      </c>
      <c r="O142">
        <v>169.7</v>
      </c>
      <c r="P142">
        <v>192.9</v>
      </c>
      <c r="Q142">
        <v>167.2</v>
      </c>
      <c r="R142">
        <v>157.4</v>
      </c>
      <c r="S142">
        <v>165.8</v>
      </c>
      <c r="T142">
        <v>164.2</v>
      </c>
      <c r="U142">
        <v>163.9</v>
      </c>
      <c r="V142">
        <v>159.30000000000001</v>
      </c>
      <c r="W142">
        <v>169.9</v>
      </c>
      <c r="X142">
        <v>154.80000000000001</v>
      </c>
      <c r="Y142">
        <v>159.80000000000001</v>
      </c>
      <c r="Z142">
        <v>164.3</v>
      </c>
      <c r="AA142">
        <v>162.19999999999999</v>
      </c>
      <c r="AB142">
        <v>161.4</v>
      </c>
      <c r="AC142">
        <v>166.7</v>
      </c>
    </row>
    <row r="143" spans="1:29" x14ac:dyDescent="0.3">
      <c r="A143" s="42">
        <v>44531</v>
      </c>
      <c r="B143" s="43">
        <v>73.298823523809531</v>
      </c>
      <c r="C143">
        <v>148.69999999999999</v>
      </c>
      <c r="D143">
        <v>198.8</v>
      </c>
      <c r="E143">
        <v>177.9</v>
      </c>
      <c r="F143">
        <v>159.9</v>
      </c>
      <c r="G143">
        <v>187.6</v>
      </c>
      <c r="H143">
        <v>154.9</v>
      </c>
      <c r="I143">
        <v>188.3</v>
      </c>
      <c r="J143">
        <v>164.4</v>
      </c>
      <c r="K143">
        <v>121</v>
      </c>
      <c r="L143">
        <v>170.5</v>
      </c>
      <c r="M143">
        <v>164.2</v>
      </c>
      <c r="N143">
        <v>176.5</v>
      </c>
      <c r="O143">
        <v>168.2</v>
      </c>
      <c r="P143">
        <v>192.4</v>
      </c>
      <c r="Q143">
        <v>168.5</v>
      </c>
      <c r="R143">
        <v>158.69999999999999</v>
      </c>
      <c r="S143">
        <v>167</v>
      </c>
      <c r="T143">
        <v>163.4</v>
      </c>
      <c r="U143">
        <v>164.1</v>
      </c>
      <c r="V143">
        <v>160.19999999999999</v>
      </c>
      <c r="W143">
        <v>170.6</v>
      </c>
      <c r="X143">
        <v>155.69999999999999</v>
      </c>
      <c r="Y143">
        <v>160.6</v>
      </c>
      <c r="Z143">
        <v>164.4</v>
      </c>
      <c r="AA143">
        <v>162.6</v>
      </c>
      <c r="AB143">
        <v>162</v>
      </c>
      <c r="AC143">
        <v>166.2</v>
      </c>
    </row>
    <row r="144" spans="1:29" x14ac:dyDescent="0.3">
      <c r="A144" s="42">
        <v>44562</v>
      </c>
      <c r="B144" s="43">
        <v>84.666318799999985</v>
      </c>
      <c r="C144">
        <v>149.5</v>
      </c>
      <c r="D144">
        <v>198.7</v>
      </c>
      <c r="E144">
        <v>178.8</v>
      </c>
      <c r="F144">
        <v>160.5</v>
      </c>
      <c r="G144">
        <v>184.7</v>
      </c>
      <c r="H144">
        <v>153.69999999999999</v>
      </c>
      <c r="I144">
        <v>174.3</v>
      </c>
      <c r="J144">
        <v>163.9</v>
      </c>
      <c r="K144">
        <v>120</v>
      </c>
      <c r="L144">
        <v>172.1</v>
      </c>
      <c r="M144">
        <v>164.3</v>
      </c>
      <c r="N144">
        <v>177.3</v>
      </c>
      <c r="O144">
        <v>166.4</v>
      </c>
      <c r="P144">
        <v>192.2</v>
      </c>
      <c r="Q144">
        <v>169.9</v>
      </c>
      <c r="R144">
        <v>160.69999999999999</v>
      </c>
      <c r="S144">
        <v>168.5</v>
      </c>
      <c r="T144">
        <v>164.5</v>
      </c>
      <c r="U144">
        <v>164.2</v>
      </c>
      <c r="V144">
        <v>161.1</v>
      </c>
      <c r="W144">
        <v>171.4</v>
      </c>
      <c r="X144">
        <v>156.5</v>
      </c>
      <c r="Y144">
        <v>161.19999999999999</v>
      </c>
      <c r="Z144">
        <v>164.7</v>
      </c>
      <c r="AA144">
        <v>163</v>
      </c>
      <c r="AB144">
        <v>162.69999999999999</v>
      </c>
      <c r="AC144">
        <v>165.7</v>
      </c>
    </row>
    <row r="145" spans="1:29" x14ac:dyDescent="0.3">
      <c r="A145" s="42">
        <v>44593</v>
      </c>
      <c r="B145" s="43">
        <v>94.067715194444446</v>
      </c>
      <c r="C145">
        <v>150</v>
      </c>
      <c r="D145">
        <v>200.6</v>
      </c>
      <c r="E145">
        <v>175.8</v>
      </c>
      <c r="F145">
        <v>160.69999999999999</v>
      </c>
      <c r="G145">
        <v>184.9</v>
      </c>
      <c r="H145">
        <v>153.69999999999999</v>
      </c>
      <c r="I145">
        <v>169.7</v>
      </c>
      <c r="J145">
        <v>163.69999999999999</v>
      </c>
      <c r="K145">
        <v>118.9</v>
      </c>
      <c r="L145">
        <v>174.3</v>
      </c>
      <c r="M145">
        <v>164.7</v>
      </c>
      <c r="N145">
        <v>178</v>
      </c>
      <c r="O145">
        <v>166.2</v>
      </c>
      <c r="P145">
        <v>192.8</v>
      </c>
      <c r="Q145">
        <v>170.8</v>
      </c>
      <c r="R145">
        <v>162.4</v>
      </c>
      <c r="S145">
        <v>169.6</v>
      </c>
      <c r="T145">
        <v>165.5</v>
      </c>
      <c r="U145">
        <v>165.7</v>
      </c>
      <c r="V145">
        <v>161.80000000000001</v>
      </c>
      <c r="W145">
        <v>172.2</v>
      </c>
      <c r="X145">
        <v>156.9</v>
      </c>
      <c r="Y145">
        <v>162.1</v>
      </c>
      <c r="Z145">
        <v>165.4</v>
      </c>
      <c r="AA145">
        <v>164.4</v>
      </c>
      <c r="AB145">
        <v>163.5</v>
      </c>
      <c r="AC145">
        <v>166.1</v>
      </c>
    </row>
    <row r="146" spans="1:29" x14ac:dyDescent="0.3">
      <c r="A146" s="42">
        <v>44621</v>
      </c>
      <c r="B146" s="43">
        <v>112.87479254347826</v>
      </c>
      <c r="C146">
        <v>151.30000000000001</v>
      </c>
      <c r="D146">
        <v>210.7</v>
      </c>
      <c r="E146">
        <v>167.8</v>
      </c>
      <c r="F146">
        <v>162.19999999999999</v>
      </c>
      <c r="G146">
        <v>194.6</v>
      </c>
      <c r="H146">
        <v>157.6</v>
      </c>
      <c r="I146">
        <v>166.9</v>
      </c>
      <c r="J146">
        <v>163.9</v>
      </c>
      <c r="K146">
        <v>118.8</v>
      </c>
      <c r="L146">
        <v>177.4</v>
      </c>
      <c r="M146">
        <v>165.3</v>
      </c>
      <c r="N146">
        <v>179.3</v>
      </c>
      <c r="O146">
        <v>168.4</v>
      </c>
      <c r="P146">
        <v>193.7</v>
      </c>
      <c r="Q146">
        <v>172.1</v>
      </c>
      <c r="R146">
        <v>164.6</v>
      </c>
      <c r="S146">
        <v>171.1</v>
      </c>
      <c r="T146">
        <v>165.3</v>
      </c>
      <c r="U146">
        <v>167.2</v>
      </c>
      <c r="V146">
        <v>162.80000000000001</v>
      </c>
      <c r="W146">
        <v>173</v>
      </c>
      <c r="X146">
        <v>157.9</v>
      </c>
      <c r="Y146">
        <v>163.30000000000001</v>
      </c>
      <c r="Z146">
        <v>166</v>
      </c>
      <c r="AA146">
        <v>167.2</v>
      </c>
      <c r="AB146">
        <v>164.6</v>
      </c>
      <c r="AC146">
        <v>167.7</v>
      </c>
    </row>
    <row r="147" spans="1:29" x14ac:dyDescent="0.3">
      <c r="A147" s="42">
        <v>44652</v>
      </c>
      <c r="B147" s="43">
        <v>102.96599786842103</v>
      </c>
      <c r="C147">
        <v>152.9</v>
      </c>
      <c r="D147">
        <v>211.8</v>
      </c>
      <c r="E147">
        <v>164.5</v>
      </c>
      <c r="F147">
        <v>163.9</v>
      </c>
      <c r="G147">
        <v>199.5</v>
      </c>
      <c r="H147">
        <v>172.6</v>
      </c>
      <c r="I147">
        <v>166.2</v>
      </c>
      <c r="J147">
        <v>164.7</v>
      </c>
      <c r="K147">
        <v>119</v>
      </c>
      <c r="L147">
        <v>181.3</v>
      </c>
      <c r="M147">
        <v>166.2</v>
      </c>
      <c r="N147">
        <v>180.9</v>
      </c>
      <c r="O147">
        <v>170.8</v>
      </c>
      <c r="P147">
        <v>193.9</v>
      </c>
      <c r="Q147">
        <v>173.9</v>
      </c>
      <c r="R147">
        <v>166.5</v>
      </c>
      <c r="S147">
        <v>172.8</v>
      </c>
      <c r="T147">
        <v>167</v>
      </c>
      <c r="U147">
        <v>172.2</v>
      </c>
      <c r="V147">
        <v>164</v>
      </c>
      <c r="W147">
        <v>174</v>
      </c>
      <c r="X147">
        <v>162.6</v>
      </c>
      <c r="Y147">
        <v>164.4</v>
      </c>
      <c r="Z147">
        <v>166.9</v>
      </c>
      <c r="AA147">
        <v>168.8</v>
      </c>
      <c r="AB147">
        <v>166.8</v>
      </c>
      <c r="AC147">
        <v>170.1</v>
      </c>
    </row>
    <row r="148" spans="1:29" x14ac:dyDescent="0.3">
      <c r="A148" s="42">
        <v>44682</v>
      </c>
      <c r="B148" s="43">
        <v>109.50503773684208</v>
      </c>
      <c r="C148">
        <v>154.1</v>
      </c>
      <c r="D148">
        <v>217</v>
      </c>
      <c r="E148">
        <v>162.4</v>
      </c>
      <c r="F148">
        <v>164.9</v>
      </c>
      <c r="G148">
        <v>202.4</v>
      </c>
      <c r="H148">
        <v>171</v>
      </c>
      <c r="I148">
        <v>174.9</v>
      </c>
      <c r="J148">
        <v>164.7</v>
      </c>
      <c r="K148">
        <v>119.7</v>
      </c>
      <c r="L148">
        <v>184.9</v>
      </c>
      <c r="M148">
        <v>167.1</v>
      </c>
      <c r="N148">
        <v>182.5</v>
      </c>
      <c r="O148">
        <v>173.3</v>
      </c>
      <c r="P148">
        <v>194.1</v>
      </c>
      <c r="Q148">
        <v>175.6</v>
      </c>
      <c r="R148">
        <v>168.4</v>
      </c>
      <c r="S148">
        <v>174.6</v>
      </c>
      <c r="T148">
        <v>167.5</v>
      </c>
      <c r="U148">
        <v>174.6</v>
      </c>
      <c r="V148">
        <v>165.2</v>
      </c>
      <c r="W148">
        <v>174.8</v>
      </c>
      <c r="X148">
        <v>163</v>
      </c>
      <c r="Y148">
        <v>165.1</v>
      </c>
      <c r="Z148">
        <v>167.9</v>
      </c>
      <c r="AA148">
        <v>168.4</v>
      </c>
      <c r="AB148">
        <v>167.5</v>
      </c>
      <c r="AC148">
        <v>171.7</v>
      </c>
    </row>
    <row r="149" spans="1:29" x14ac:dyDescent="0.3">
      <c r="A149" s="42">
        <v>44713</v>
      </c>
      <c r="B149" s="43">
        <v>116.01138504999999</v>
      </c>
      <c r="C149">
        <v>155</v>
      </c>
      <c r="D149">
        <v>219.4</v>
      </c>
      <c r="E149">
        <v>170.8</v>
      </c>
      <c r="F149">
        <v>165.8</v>
      </c>
      <c r="G149">
        <v>200.9</v>
      </c>
      <c r="H149">
        <v>169.7</v>
      </c>
      <c r="I149">
        <v>182.3</v>
      </c>
      <c r="J149">
        <v>164.3</v>
      </c>
      <c r="K149">
        <v>119.9</v>
      </c>
      <c r="L149">
        <v>187.1</v>
      </c>
      <c r="M149">
        <v>167.9</v>
      </c>
      <c r="N149">
        <v>183.9</v>
      </c>
      <c r="O149">
        <v>174.9</v>
      </c>
      <c r="P149">
        <v>194.3</v>
      </c>
      <c r="Q149">
        <v>177.1</v>
      </c>
      <c r="R149">
        <v>169.9</v>
      </c>
      <c r="S149">
        <v>176</v>
      </c>
      <c r="T149">
        <v>166.8</v>
      </c>
      <c r="U149">
        <v>176</v>
      </c>
      <c r="V149">
        <v>166.4</v>
      </c>
      <c r="W149">
        <v>175.4</v>
      </c>
      <c r="X149">
        <v>161.1</v>
      </c>
      <c r="Y149">
        <v>165.8</v>
      </c>
      <c r="Z149">
        <v>169</v>
      </c>
      <c r="AA149">
        <v>169.4</v>
      </c>
      <c r="AB149">
        <v>167.5</v>
      </c>
      <c r="AC149">
        <v>172.6</v>
      </c>
    </row>
    <row r="150" spans="1:29" x14ac:dyDescent="0.3">
      <c r="A150" s="42">
        <v>44743</v>
      </c>
      <c r="B150" s="43">
        <v>105.49124737500001</v>
      </c>
      <c r="C150">
        <v>156.5</v>
      </c>
      <c r="D150">
        <v>213</v>
      </c>
      <c r="E150">
        <v>175.2</v>
      </c>
      <c r="F150">
        <v>166.6</v>
      </c>
      <c r="G150">
        <v>195.8</v>
      </c>
      <c r="H150">
        <v>174.2</v>
      </c>
      <c r="I150">
        <v>182.1</v>
      </c>
      <c r="J150">
        <v>164.3</v>
      </c>
      <c r="K150">
        <v>120</v>
      </c>
      <c r="L150">
        <v>190</v>
      </c>
      <c r="M150">
        <v>168.4</v>
      </c>
      <c r="N150">
        <v>185.2</v>
      </c>
      <c r="O150">
        <v>175</v>
      </c>
      <c r="P150">
        <v>194.6</v>
      </c>
      <c r="Q150">
        <v>178.3</v>
      </c>
      <c r="R150">
        <v>171.3</v>
      </c>
      <c r="S150">
        <v>177.3</v>
      </c>
      <c r="T150">
        <v>167.8</v>
      </c>
      <c r="U150">
        <v>179.6</v>
      </c>
      <c r="V150">
        <v>167.4</v>
      </c>
      <c r="W150">
        <v>176.1</v>
      </c>
      <c r="X150">
        <v>161.6</v>
      </c>
      <c r="Y150">
        <v>166.3</v>
      </c>
      <c r="Z150">
        <v>171.4</v>
      </c>
      <c r="AA150">
        <v>169.7</v>
      </c>
      <c r="AB150">
        <v>168.4</v>
      </c>
      <c r="AC150">
        <v>173.4</v>
      </c>
    </row>
    <row r="151" spans="1:29" x14ac:dyDescent="0.3">
      <c r="A151" s="42">
        <v>44774</v>
      </c>
      <c r="B151" s="43">
        <v>97.404465428571427</v>
      </c>
      <c r="C151">
        <v>160.30000000000001</v>
      </c>
      <c r="D151">
        <v>206.5</v>
      </c>
      <c r="E151">
        <v>169.2</v>
      </c>
      <c r="F151">
        <v>168.1</v>
      </c>
      <c r="G151">
        <v>192.4</v>
      </c>
      <c r="H151">
        <v>172.9</v>
      </c>
      <c r="I151">
        <v>186.7</v>
      </c>
      <c r="J151">
        <v>167.2</v>
      </c>
      <c r="K151">
        <v>120.9</v>
      </c>
      <c r="L151">
        <v>193.6</v>
      </c>
      <c r="M151">
        <v>168.8</v>
      </c>
      <c r="N151">
        <v>186.3</v>
      </c>
      <c r="O151">
        <v>176.3</v>
      </c>
      <c r="P151">
        <v>195</v>
      </c>
      <c r="Q151">
        <v>179.5</v>
      </c>
      <c r="R151">
        <v>172.7</v>
      </c>
      <c r="S151">
        <v>178.5</v>
      </c>
      <c r="T151">
        <v>169</v>
      </c>
      <c r="U151">
        <v>178.8</v>
      </c>
      <c r="V151">
        <v>168.5</v>
      </c>
      <c r="W151">
        <v>176.8</v>
      </c>
      <c r="X151">
        <v>161.9</v>
      </c>
      <c r="Y151">
        <v>166.9</v>
      </c>
      <c r="Z151">
        <v>172.3</v>
      </c>
      <c r="AA151">
        <v>171.2</v>
      </c>
      <c r="AB151">
        <v>169.1</v>
      </c>
      <c r="AC151">
        <v>174.3</v>
      </c>
    </row>
    <row r="152" spans="1:29" x14ac:dyDescent="0.3">
      <c r="A152" s="42">
        <v>44805</v>
      </c>
      <c r="B152" s="43">
        <v>90.706344809523813</v>
      </c>
      <c r="C152">
        <v>163.5</v>
      </c>
      <c r="D152">
        <v>209.2</v>
      </c>
      <c r="E152">
        <v>169.7</v>
      </c>
      <c r="F152">
        <v>169.7</v>
      </c>
      <c r="G152">
        <v>188.7</v>
      </c>
      <c r="H152">
        <v>165.7</v>
      </c>
      <c r="I152">
        <v>191.8</v>
      </c>
      <c r="J152">
        <v>169.1</v>
      </c>
      <c r="K152">
        <v>121.6</v>
      </c>
      <c r="L152">
        <v>197.3</v>
      </c>
      <c r="M152">
        <v>169.4</v>
      </c>
      <c r="N152">
        <v>187.4</v>
      </c>
      <c r="O152">
        <v>177.8</v>
      </c>
      <c r="P152">
        <v>195.9</v>
      </c>
      <c r="Q152">
        <v>180.9</v>
      </c>
      <c r="R152">
        <v>174.3</v>
      </c>
      <c r="S152">
        <v>179.9</v>
      </c>
      <c r="T152">
        <v>169.5</v>
      </c>
      <c r="U152">
        <v>179.5</v>
      </c>
      <c r="V152">
        <v>169.5</v>
      </c>
      <c r="W152">
        <v>177.8</v>
      </c>
      <c r="X152">
        <v>162.30000000000001</v>
      </c>
      <c r="Y152">
        <v>167.6</v>
      </c>
      <c r="Z152">
        <v>173.1</v>
      </c>
      <c r="AA152">
        <v>170.9</v>
      </c>
      <c r="AB152">
        <v>169.7</v>
      </c>
      <c r="AC152">
        <v>175.3</v>
      </c>
    </row>
    <row r="153" spans="1:29" x14ac:dyDescent="0.3">
      <c r="A153" s="42">
        <v>44835</v>
      </c>
      <c r="B153" s="43">
        <v>91.698948700000003</v>
      </c>
      <c r="C153">
        <v>165.2</v>
      </c>
      <c r="D153">
        <v>210.9</v>
      </c>
      <c r="E153">
        <v>170.9</v>
      </c>
      <c r="F153">
        <v>170.9</v>
      </c>
      <c r="G153">
        <v>186.5</v>
      </c>
      <c r="H153">
        <v>163.80000000000001</v>
      </c>
      <c r="I153">
        <v>199.7</v>
      </c>
      <c r="J153">
        <v>169.8</v>
      </c>
      <c r="K153">
        <v>121.9</v>
      </c>
      <c r="L153">
        <v>199.9</v>
      </c>
      <c r="M153">
        <v>169.9</v>
      </c>
      <c r="N153">
        <v>188.3</v>
      </c>
      <c r="O153">
        <v>179.6</v>
      </c>
      <c r="P153">
        <v>196.3</v>
      </c>
      <c r="Q153">
        <v>181.9</v>
      </c>
      <c r="R153">
        <v>175.3</v>
      </c>
      <c r="S153">
        <v>181</v>
      </c>
      <c r="T153">
        <v>171.2</v>
      </c>
      <c r="U153">
        <v>180.5</v>
      </c>
      <c r="V153">
        <v>170.4</v>
      </c>
      <c r="W153">
        <v>178.7</v>
      </c>
      <c r="X153">
        <v>162.9</v>
      </c>
      <c r="Y153">
        <v>168.2</v>
      </c>
      <c r="Z153">
        <v>173.4</v>
      </c>
      <c r="AA153">
        <v>172.1</v>
      </c>
      <c r="AB153">
        <v>170.5</v>
      </c>
      <c r="AC153">
        <v>176.7</v>
      </c>
    </row>
    <row r="154" spans="1:29" x14ac:dyDescent="0.3">
      <c r="A154" s="42">
        <v>44866</v>
      </c>
      <c r="B154" s="43">
        <v>87.552266068181822</v>
      </c>
      <c r="C154">
        <v>167.4</v>
      </c>
      <c r="D154">
        <v>209.4</v>
      </c>
      <c r="E154">
        <v>181.4</v>
      </c>
      <c r="F154">
        <v>172.3</v>
      </c>
      <c r="G154">
        <v>188.9</v>
      </c>
      <c r="H154">
        <v>160.69999999999999</v>
      </c>
      <c r="I154">
        <v>183.1</v>
      </c>
      <c r="J154">
        <v>170.5</v>
      </c>
      <c r="K154">
        <v>122.1</v>
      </c>
      <c r="L154">
        <v>202.8</v>
      </c>
      <c r="M154">
        <v>170.4</v>
      </c>
      <c r="N154">
        <v>189.5</v>
      </c>
      <c r="O154">
        <v>178.3</v>
      </c>
      <c r="P154">
        <v>196.9</v>
      </c>
      <c r="Q154">
        <v>183.1</v>
      </c>
      <c r="R154">
        <v>176.2</v>
      </c>
      <c r="S154">
        <v>182.1</v>
      </c>
      <c r="T154">
        <v>171.8</v>
      </c>
      <c r="U154">
        <v>181.3</v>
      </c>
      <c r="V154">
        <v>171.4</v>
      </c>
      <c r="W154">
        <v>179.8</v>
      </c>
      <c r="X154">
        <v>163</v>
      </c>
      <c r="Y154">
        <v>168.5</v>
      </c>
      <c r="Z154">
        <v>173.7</v>
      </c>
      <c r="AA154">
        <v>173.6</v>
      </c>
      <c r="AB154">
        <v>171.1</v>
      </c>
      <c r="AC154">
        <v>176.5</v>
      </c>
    </row>
    <row r="155" spans="1:29" x14ac:dyDescent="0.3">
      <c r="A155" s="42">
        <v>44896</v>
      </c>
      <c r="B155" s="43">
        <v>78.100942275000008</v>
      </c>
      <c r="C155">
        <v>169.2</v>
      </c>
      <c r="D155">
        <v>209</v>
      </c>
      <c r="E155">
        <v>190.2</v>
      </c>
      <c r="F155">
        <v>173.6</v>
      </c>
      <c r="G155">
        <v>188.5</v>
      </c>
      <c r="H155">
        <v>158</v>
      </c>
      <c r="I155">
        <v>159.9</v>
      </c>
      <c r="J155">
        <v>170.8</v>
      </c>
      <c r="K155">
        <v>121.8</v>
      </c>
      <c r="L155">
        <v>205.2</v>
      </c>
      <c r="M155">
        <v>171</v>
      </c>
      <c r="N155">
        <v>190.3</v>
      </c>
      <c r="O155">
        <v>175.9</v>
      </c>
      <c r="P155">
        <v>197.3</v>
      </c>
      <c r="Q155">
        <v>184</v>
      </c>
      <c r="R155">
        <v>177</v>
      </c>
      <c r="S155">
        <v>183</v>
      </c>
      <c r="T155">
        <v>170.7</v>
      </c>
      <c r="U155">
        <v>182</v>
      </c>
      <c r="V155">
        <v>172.1</v>
      </c>
      <c r="W155">
        <v>181.1</v>
      </c>
      <c r="X155">
        <v>163.4</v>
      </c>
      <c r="Y155">
        <v>168.9</v>
      </c>
      <c r="Z155">
        <v>174.1</v>
      </c>
      <c r="AA155">
        <v>175.8</v>
      </c>
      <c r="AB155">
        <v>172</v>
      </c>
      <c r="AC155">
        <v>175.7</v>
      </c>
    </row>
    <row r="163" spans="2:10" ht="21" x14ac:dyDescent="0.4">
      <c r="B163" s="50" t="s">
        <v>99</v>
      </c>
      <c r="C163" s="51" t="s">
        <v>100</v>
      </c>
    </row>
    <row r="164" spans="2:10" x14ac:dyDescent="0.3">
      <c r="B164" s="1" t="s">
        <v>3</v>
      </c>
      <c r="C164" s="43">
        <v>0.50782673928104072</v>
      </c>
    </row>
    <row r="165" spans="2:10" x14ac:dyDescent="0.3">
      <c r="B165" s="1" t="s">
        <v>4</v>
      </c>
      <c r="C165" s="43">
        <v>0.84191192019168415</v>
      </c>
    </row>
    <row r="166" spans="2:10" x14ac:dyDescent="0.3">
      <c r="B166" s="1" t="s">
        <v>5</v>
      </c>
      <c r="C166" s="44">
        <v>-0.2036224701816976</v>
      </c>
    </row>
    <row r="167" spans="2:10" x14ac:dyDescent="0.3">
      <c r="B167" s="1" t="s">
        <v>6</v>
      </c>
      <c r="C167" s="43">
        <v>0.63436438765675618</v>
      </c>
    </row>
    <row r="168" spans="2:10" x14ac:dyDescent="0.3">
      <c r="B168" s="1" t="s">
        <v>7</v>
      </c>
      <c r="C168" s="43">
        <v>0.82620259475660895</v>
      </c>
    </row>
    <row r="169" spans="2:10" x14ac:dyDescent="0.3">
      <c r="B169" s="1" t="s">
        <v>8</v>
      </c>
      <c r="C169" s="43">
        <v>0.59139323105135344</v>
      </c>
    </row>
    <row r="170" spans="2:10" x14ac:dyDescent="0.3">
      <c r="B170" s="1" t="s">
        <v>9</v>
      </c>
      <c r="C170" s="43">
        <v>0.35074653398470973</v>
      </c>
    </row>
    <row r="171" spans="2:10" x14ac:dyDescent="0.3">
      <c r="B171" s="1" t="s">
        <v>10</v>
      </c>
      <c r="C171" s="43">
        <v>0.36427003644529937</v>
      </c>
    </row>
    <row r="172" spans="2:10" x14ac:dyDescent="0.3">
      <c r="B172" s="1" t="s">
        <v>11</v>
      </c>
      <c r="C172" s="43">
        <v>0.56709729181669644</v>
      </c>
    </row>
    <row r="173" spans="2:10" x14ac:dyDescent="0.3">
      <c r="B173" s="1" t="s">
        <v>12</v>
      </c>
      <c r="C173" s="43">
        <v>0.59053727341757856</v>
      </c>
    </row>
    <row r="174" spans="2:10" ht="33.6" x14ac:dyDescent="0.65">
      <c r="B174" s="1" t="s">
        <v>13</v>
      </c>
      <c r="C174" s="43">
        <v>0.75260403886846317</v>
      </c>
      <c r="J174" s="47" t="s">
        <v>101</v>
      </c>
    </row>
    <row r="175" spans="2:10" ht="21" x14ac:dyDescent="0.4">
      <c r="B175" s="1" t="s">
        <v>14</v>
      </c>
      <c r="C175" s="43">
        <v>0.71816936627720163</v>
      </c>
      <c r="J175" s="48" t="s">
        <v>98</v>
      </c>
    </row>
    <row r="176" spans="2:10" x14ac:dyDescent="0.3">
      <c r="B176" s="1" t="s">
        <v>15</v>
      </c>
      <c r="C176" s="43">
        <v>0.71771593094288821</v>
      </c>
    </row>
    <row r="177" spans="2:3" x14ac:dyDescent="0.3">
      <c r="B177" s="1" t="s">
        <v>16</v>
      </c>
      <c r="C177" s="43">
        <v>0.68867161411370348</v>
      </c>
    </row>
    <row r="178" spans="2:3" x14ac:dyDescent="0.3">
      <c r="B178" s="1" t="s">
        <v>17</v>
      </c>
      <c r="C178" s="43">
        <v>0.73718735666666269</v>
      </c>
    </row>
    <row r="179" spans="2:3" x14ac:dyDescent="0.3">
      <c r="B179" s="1" t="s">
        <v>18</v>
      </c>
      <c r="C179" s="43">
        <v>0.74869562674882939</v>
      </c>
    </row>
    <row r="180" spans="2:3" x14ac:dyDescent="0.3">
      <c r="B180" s="1" t="s">
        <v>19</v>
      </c>
      <c r="C180" s="43">
        <v>0.7393580301817575</v>
      </c>
    </row>
    <row r="181" spans="2:3" x14ac:dyDescent="0.3">
      <c r="B181" s="1" t="s">
        <v>20</v>
      </c>
      <c r="C181" s="43">
        <v>0.69787802521406628</v>
      </c>
    </row>
    <row r="182" spans="2:3" x14ac:dyDescent="0.3">
      <c r="B182" s="1" t="s">
        <v>21</v>
      </c>
      <c r="C182" s="43">
        <v>0.73695384515053841</v>
      </c>
    </row>
    <row r="183" spans="2:3" x14ac:dyDescent="0.3">
      <c r="B183" s="1" t="s">
        <v>22</v>
      </c>
      <c r="C183" s="43">
        <v>0.73037374022525769</v>
      </c>
    </row>
    <row r="184" spans="2:3" x14ac:dyDescent="0.3">
      <c r="B184" s="1" t="s">
        <v>23</v>
      </c>
      <c r="C184" s="43">
        <v>0.73881995293995806</v>
      </c>
    </row>
    <row r="185" spans="2:3" x14ac:dyDescent="0.3">
      <c r="B185" s="1" t="s">
        <v>24</v>
      </c>
      <c r="C185" s="43">
        <v>0.81520166268737893</v>
      </c>
    </row>
    <row r="186" spans="2:3" x14ac:dyDescent="0.3">
      <c r="B186" s="1" t="s">
        <v>25</v>
      </c>
      <c r="C186" s="43">
        <v>0.78563045522865071</v>
      </c>
    </row>
    <row r="187" spans="2:3" x14ac:dyDescent="0.3">
      <c r="B187" s="1" t="s">
        <v>26</v>
      </c>
      <c r="C187" s="43">
        <v>0.65313864265722477</v>
      </c>
    </row>
    <row r="188" spans="2:3" x14ac:dyDescent="0.3">
      <c r="B188" s="1" t="s">
        <v>27</v>
      </c>
      <c r="C188" s="43">
        <v>0.73372084561697026</v>
      </c>
    </row>
    <row r="189" spans="2:3" x14ac:dyDescent="0.3">
      <c r="B189" s="1" t="s">
        <v>28</v>
      </c>
      <c r="C189" s="43">
        <v>0.76560004102965407</v>
      </c>
    </row>
    <row r="190" spans="2:3" x14ac:dyDescent="0.3">
      <c r="B190" s="1" t="s">
        <v>29</v>
      </c>
      <c r="C190" s="43">
        <v>0.74098995346190499</v>
      </c>
    </row>
  </sheetData>
  <phoneticPr fontId="24" type="noConversion"/>
  <conditionalFormatting sqref="C35:C60">
    <cfRule type="iconSet" priority="6">
      <iconSet iconSet="3Arrows"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{207C14F0-D1DA-4C1F-9649-44B4CBEDD03D}</x14:id>
        </ext>
      </extLst>
    </cfRule>
  </conditionalFormatting>
  <conditionalFormatting sqref="C98:C1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{08E3DCDA-0E14-4D57-8EE5-288C60DE3E1C}</x14:id>
        </ext>
      </extLs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164:C19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{3332C67E-FD1F-4F52-9BCF-F9DDCE45E562}</x14:id>
        </ext>
      </extLst>
    </cfRule>
  </conditionalFormatting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7C14F0-D1DA-4C1F-9649-44B4CBEDD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C35:C60</xm:sqref>
        </x14:conditionalFormatting>
        <x14:conditionalFormatting xmlns:xm="http://schemas.microsoft.com/office/excel/2006/main">
          <x14:cfRule type="dataBar" id="{08E3DCDA-0E14-4D57-8EE5-288C60DE3E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C98:C124</xm:sqref>
        </x14:conditionalFormatting>
        <x14:conditionalFormatting xmlns:xm="http://schemas.microsoft.com/office/excel/2006/main">
          <x14:cfRule type="dataBar" id="{3332C67E-FD1F-4F52-9BCF-F9DDCE45E5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C164:C190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48AD-BAB0-4E1E-B354-A04980FE9E61}">
  <dimension ref="A1:AA150"/>
  <sheetViews>
    <sheetView topLeftCell="A114" zoomScale="70" zoomScaleNormal="70" workbookViewId="0">
      <selection activeCell="A108" sqref="A108"/>
    </sheetView>
  </sheetViews>
  <sheetFormatPr defaultRowHeight="14.4" x14ac:dyDescent="0.3"/>
  <cols>
    <col min="1" max="1" width="22.21875" bestFit="1" customWidth="1"/>
    <col min="2" max="2" width="15.21875" bestFit="1" customWidth="1"/>
    <col min="3" max="3" width="10.21875" bestFit="1" customWidth="1"/>
    <col min="5" max="5" width="15.21875" bestFit="1" customWidth="1"/>
    <col min="11" max="11" width="12.109375" bestFit="1" customWidth="1"/>
    <col min="14" max="14" width="37.21875" customWidth="1"/>
    <col min="15" max="15" width="18.77734375" bestFit="1" customWidth="1"/>
    <col min="16" max="16" width="12.5546875" bestFit="1" customWidth="1"/>
    <col min="17" max="17" width="20" bestFit="1" customWidth="1"/>
    <col min="18" max="18" width="16.33203125" bestFit="1" customWidth="1"/>
    <col min="19" max="19" width="26.6640625" bestFit="1" customWidth="1"/>
    <col min="20" max="20" width="26.88671875" bestFit="1" customWidth="1"/>
    <col min="21" max="21" width="24.44140625" bestFit="1" customWidth="1"/>
    <col min="22" max="22" width="18" bestFit="1" customWidth="1"/>
    <col min="23" max="23" width="22.109375" bestFit="1" customWidth="1"/>
    <col min="24" max="24" width="6.21875" bestFit="1" customWidth="1"/>
    <col min="25" max="25" width="22" bestFit="1" customWidth="1"/>
    <col min="26" max="26" width="31.33203125" bestFit="1" customWidth="1"/>
    <col min="27" max="27" width="18.109375" bestFit="1" customWidth="1"/>
  </cols>
  <sheetData>
    <row r="1" spans="1:27" x14ac:dyDescent="0.3">
      <c r="A1" s="57">
        <v>2017</v>
      </c>
      <c r="B1" s="57" t="s">
        <v>36</v>
      </c>
      <c r="C1" s="57" t="s">
        <v>88</v>
      </c>
      <c r="E1" s="7" t="s">
        <v>60</v>
      </c>
    </row>
    <row r="2" spans="1:27" x14ac:dyDescent="0.3">
      <c r="A2" s="57">
        <f>A1+1</f>
        <v>2018</v>
      </c>
      <c r="B2" s="57" t="s">
        <v>36</v>
      </c>
      <c r="C2" s="57" t="s">
        <v>88</v>
      </c>
      <c r="E2" s="7" t="s">
        <v>93</v>
      </c>
    </row>
    <row r="3" spans="1:27" x14ac:dyDescent="0.3">
      <c r="A3" s="57">
        <f t="shared" ref="A3:A6" si="0">A2+1</f>
        <v>2019</v>
      </c>
      <c r="B3" s="57" t="s">
        <v>36</v>
      </c>
      <c r="C3" s="57" t="s">
        <v>88</v>
      </c>
      <c r="E3" s="7" t="s">
        <v>94</v>
      </c>
    </row>
    <row r="4" spans="1:27" x14ac:dyDescent="0.3">
      <c r="A4" s="12">
        <f t="shared" si="0"/>
        <v>2020</v>
      </c>
      <c r="B4" s="12" t="s">
        <v>36</v>
      </c>
      <c r="C4" s="12" t="s">
        <v>90</v>
      </c>
    </row>
    <row r="5" spans="1:27" x14ac:dyDescent="0.3">
      <c r="A5" s="58">
        <f t="shared" si="0"/>
        <v>2021</v>
      </c>
      <c r="B5" s="58" t="s">
        <v>36</v>
      </c>
      <c r="C5" s="58" t="s">
        <v>89</v>
      </c>
    </row>
    <row r="6" spans="1:27" x14ac:dyDescent="0.3">
      <c r="A6" s="58">
        <f t="shared" si="0"/>
        <v>2022</v>
      </c>
      <c r="B6" s="58" t="s">
        <v>36</v>
      </c>
      <c r="C6" s="58" t="s">
        <v>89</v>
      </c>
    </row>
    <row r="7" spans="1:27" x14ac:dyDescent="0.3">
      <c r="A7" s="58">
        <f>A6+1</f>
        <v>2023</v>
      </c>
      <c r="B7" s="58" t="s">
        <v>36</v>
      </c>
      <c r="C7" s="58" t="s">
        <v>89</v>
      </c>
    </row>
    <row r="8" spans="1:27" x14ac:dyDescent="0.3">
      <c r="A8" s="40"/>
      <c r="B8" s="40"/>
      <c r="C8" s="40"/>
    </row>
    <row r="9" spans="1:27" x14ac:dyDescent="0.3">
      <c r="A9" s="40"/>
      <c r="B9" s="40"/>
      <c r="C9" s="40"/>
    </row>
    <row r="10" spans="1:27" x14ac:dyDescent="0.3">
      <c r="A10" s="40"/>
      <c r="B10" s="40"/>
      <c r="C10" s="40"/>
    </row>
    <row r="11" spans="1:27" ht="25.8" x14ac:dyDescent="0.5">
      <c r="A11" s="52" t="s">
        <v>30</v>
      </c>
      <c r="B11" s="40"/>
      <c r="C11" s="40"/>
    </row>
    <row r="13" spans="1:27" x14ac:dyDescent="0.3">
      <c r="C13" s="3" t="s">
        <v>88</v>
      </c>
      <c r="D13" s="3" t="s">
        <v>88</v>
      </c>
      <c r="E13" s="41" t="s">
        <v>90</v>
      </c>
      <c r="F13" s="40" t="s">
        <v>89</v>
      </c>
      <c r="G13" s="40" t="s">
        <v>89</v>
      </c>
    </row>
    <row r="14" spans="1:27" x14ac:dyDescent="0.3">
      <c r="A14" s="1" t="s">
        <v>0</v>
      </c>
      <c r="B14" s="1" t="s">
        <v>80</v>
      </c>
      <c r="C14" s="22">
        <v>2018</v>
      </c>
      <c r="D14" s="22">
        <v>2019</v>
      </c>
      <c r="E14" s="22">
        <v>2020</v>
      </c>
      <c r="F14" s="22">
        <v>2021</v>
      </c>
      <c r="G14" s="22">
        <v>2022</v>
      </c>
    </row>
    <row r="15" spans="1:27" x14ac:dyDescent="0.3">
      <c r="A15" t="s">
        <v>91</v>
      </c>
      <c r="B15" t="s">
        <v>60</v>
      </c>
      <c r="C15" s="2">
        <f>(N18-N17)/N17</f>
        <v>-1.5327372688398904E-2</v>
      </c>
      <c r="D15" s="2">
        <f>(N20-N19)/N19</f>
        <v>0.10309161172993828</v>
      </c>
      <c r="E15" s="2">
        <f>(N22-N21)/N21</f>
        <v>8.3513875992984682E-2</v>
      </c>
      <c r="F15" s="2">
        <f>(N24-N23)/N23</f>
        <v>4.9619983540688389E-2</v>
      </c>
      <c r="G15" s="2">
        <f>(N26-N25)/N25</f>
        <v>5.76405016256386E-2</v>
      </c>
    </row>
    <row r="16" spans="1:27" x14ac:dyDescent="0.3">
      <c r="A16" t="s">
        <v>91</v>
      </c>
      <c r="B16" t="s">
        <v>23</v>
      </c>
      <c r="C16" s="2">
        <f>(N33-N32)/N32</f>
        <v>9.9999999999999964E-2</v>
      </c>
      <c r="D16" s="2">
        <f>(N35-N34)/N34</f>
        <v>3.4759358288770172E-2</v>
      </c>
      <c r="E16" s="2">
        <f>(N37-N36)/N36</f>
        <v>3.7893384714194005E-2</v>
      </c>
      <c r="F16" s="2">
        <f>(N39-N38)/N38</f>
        <v>7.0769230769230765E-2</v>
      </c>
      <c r="G16" s="2">
        <f>(N41-N40)/N40</f>
        <v>5.0372066399542142E-2</v>
      </c>
      <c r="K16" s="1" t="s">
        <v>0</v>
      </c>
      <c r="L16" s="1" t="s">
        <v>1</v>
      </c>
      <c r="M16" s="1" t="s">
        <v>2</v>
      </c>
      <c r="N16" s="1" t="s">
        <v>92</v>
      </c>
      <c r="O16" s="1" t="s">
        <v>3</v>
      </c>
      <c r="P16" s="1" t="s">
        <v>4</v>
      </c>
      <c r="Q16" s="1" t="s">
        <v>5</v>
      </c>
      <c r="R16" s="1" t="s">
        <v>6</v>
      </c>
      <c r="S16" s="1" t="s">
        <v>7</v>
      </c>
      <c r="T16" s="1" t="s">
        <v>8</v>
      </c>
      <c r="U16" s="1" t="s">
        <v>9</v>
      </c>
      <c r="V16" s="1" t="s">
        <v>10</v>
      </c>
      <c r="W16" s="1" t="s">
        <v>11</v>
      </c>
      <c r="X16" s="1" t="s">
        <v>12</v>
      </c>
      <c r="Y16" s="1" t="s">
        <v>13</v>
      </c>
      <c r="Z16" s="1" t="s">
        <v>14</v>
      </c>
      <c r="AA16" s="1" t="s">
        <v>15</v>
      </c>
    </row>
    <row r="17" spans="1:27" x14ac:dyDescent="0.3">
      <c r="A17" t="s">
        <v>91</v>
      </c>
      <c r="B17" t="s">
        <v>94</v>
      </c>
      <c r="C17" s="2">
        <f>(N48-N47)/N47</f>
        <v>4.277527629963155E-2</v>
      </c>
      <c r="D17" s="2">
        <f>(N50-N49)/N49</f>
        <v>2.3682652457075081E-2</v>
      </c>
      <c r="E17" s="2">
        <f>(N52-N51)/N51</f>
        <v>2.5461183704842429E-2</v>
      </c>
      <c r="F17" s="2">
        <f>(N54-N53)/N53</f>
        <v>8.4070384507960325E-2</v>
      </c>
      <c r="G17" s="2">
        <f>(N56-N55)/N55</f>
        <v>7.5452372823489114E-2</v>
      </c>
      <c r="K17" t="s">
        <v>30</v>
      </c>
      <c r="L17">
        <v>2018</v>
      </c>
      <c r="M17" t="s">
        <v>31</v>
      </c>
      <c r="N17" s="4">
        <f>SUM(O17:AA17)</f>
        <v>1800.7</v>
      </c>
      <c r="O17">
        <v>136.6</v>
      </c>
      <c r="P17">
        <v>144.4</v>
      </c>
      <c r="Q17">
        <v>143.80000000000001</v>
      </c>
      <c r="R17">
        <v>142</v>
      </c>
      <c r="S17">
        <v>123.2</v>
      </c>
      <c r="T17">
        <v>147.9</v>
      </c>
      <c r="U17">
        <v>152.1</v>
      </c>
      <c r="V17">
        <v>131.80000000000001</v>
      </c>
      <c r="W17">
        <v>119.5</v>
      </c>
      <c r="X17">
        <v>136</v>
      </c>
      <c r="Y17">
        <v>131.19999999999999</v>
      </c>
      <c r="Z17">
        <v>151.80000000000001</v>
      </c>
      <c r="AA17">
        <v>140.4</v>
      </c>
    </row>
    <row r="18" spans="1:27" x14ac:dyDescent="0.3">
      <c r="K18" t="s">
        <v>30</v>
      </c>
      <c r="L18">
        <v>2018</v>
      </c>
      <c r="M18" t="s">
        <v>46</v>
      </c>
      <c r="N18" s="4">
        <f t="shared" ref="N18:N22" si="1">SUM(O18:AA18)</f>
        <v>1773.1000000000001</v>
      </c>
      <c r="O18">
        <v>137.1</v>
      </c>
      <c r="P18">
        <v>151.9</v>
      </c>
      <c r="Q18">
        <v>137.4</v>
      </c>
      <c r="R18">
        <v>142.4</v>
      </c>
      <c r="S18">
        <v>124.2</v>
      </c>
      <c r="T18">
        <v>140.19999999999999</v>
      </c>
      <c r="U18">
        <v>136.6</v>
      </c>
      <c r="V18">
        <v>120.9</v>
      </c>
      <c r="W18">
        <v>109.9</v>
      </c>
      <c r="X18">
        <v>140.19999999999999</v>
      </c>
      <c r="Y18">
        <v>137.80000000000001</v>
      </c>
      <c r="Z18">
        <v>156</v>
      </c>
      <c r="AA18">
        <v>138.5</v>
      </c>
    </row>
    <row r="19" spans="1:27" x14ac:dyDescent="0.3">
      <c r="K19" t="s">
        <v>30</v>
      </c>
      <c r="L19">
        <v>2019</v>
      </c>
      <c r="M19" t="s">
        <v>31</v>
      </c>
      <c r="N19" s="4">
        <f t="shared" si="1"/>
        <v>1759.6000000000001</v>
      </c>
      <c r="O19">
        <v>136.6</v>
      </c>
      <c r="P19">
        <v>152.5</v>
      </c>
      <c r="Q19">
        <v>138.19999999999999</v>
      </c>
      <c r="R19">
        <v>142.4</v>
      </c>
      <c r="S19">
        <v>123.9</v>
      </c>
      <c r="T19">
        <v>135.5</v>
      </c>
      <c r="U19">
        <v>131.69999999999999</v>
      </c>
      <c r="V19">
        <v>121.3</v>
      </c>
      <c r="W19">
        <v>108.4</v>
      </c>
      <c r="X19">
        <v>138.9</v>
      </c>
      <c r="Y19">
        <v>137</v>
      </c>
      <c r="Z19">
        <v>155.80000000000001</v>
      </c>
      <c r="AA19">
        <v>137.4</v>
      </c>
    </row>
    <row r="20" spans="1:27" x14ac:dyDescent="0.3">
      <c r="K20" t="s">
        <v>30</v>
      </c>
      <c r="L20">
        <v>2019</v>
      </c>
      <c r="M20" t="s">
        <v>46</v>
      </c>
      <c r="N20" s="4">
        <f t="shared" si="1"/>
        <v>1940.9999999999995</v>
      </c>
      <c r="O20">
        <v>142.80000000000001</v>
      </c>
      <c r="P20">
        <v>165.3</v>
      </c>
      <c r="Q20">
        <v>149.5</v>
      </c>
      <c r="R20">
        <v>148.69999999999999</v>
      </c>
      <c r="S20">
        <v>127.5</v>
      </c>
      <c r="T20">
        <v>144.30000000000001</v>
      </c>
      <c r="U20">
        <v>209.5</v>
      </c>
      <c r="V20">
        <v>138.80000000000001</v>
      </c>
      <c r="W20">
        <v>113.6</v>
      </c>
      <c r="X20">
        <v>149.1</v>
      </c>
      <c r="Y20">
        <v>139.30000000000001</v>
      </c>
      <c r="Z20">
        <v>158.30000000000001</v>
      </c>
      <c r="AA20">
        <v>154.30000000000001</v>
      </c>
    </row>
    <row r="21" spans="1:27" x14ac:dyDescent="0.3">
      <c r="K21" t="s">
        <v>30</v>
      </c>
      <c r="L21">
        <v>2020</v>
      </c>
      <c r="M21" t="s">
        <v>31</v>
      </c>
      <c r="N21" s="4">
        <f t="shared" si="1"/>
        <v>1938.6</v>
      </c>
      <c r="O21">
        <v>143.69999999999999</v>
      </c>
      <c r="P21">
        <v>167.3</v>
      </c>
      <c r="Q21">
        <v>153.5</v>
      </c>
      <c r="R21">
        <v>150.5</v>
      </c>
      <c r="S21">
        <v>132</v>
      </c>
      <c r="T21">
        <v>142.19999999999999</v>
      </c>
      <c r="U21">
        <v>191.5</v>
      </c>
      <c r="V21">
        <v>141.1</v>
      </c>
      <c r="W21">
        <v>113.8</v>
      </c>
      <c r="X21">
        <v>151.6</v>
      </c>
      <c r="Y21">
        <v>139.69999999999999</v>
      </c>
      <c r="Z21">
        <v>158.69999999999999</v>
      </c>
      <c r="AA21">
        <v>153</v>
      </c>
    </row>
    <row r="22" spans="1:27" x14ac:dyDescent="0.3">
      <c r="K22" t="s">
        <v>30</v>
      </c>
      <c r="L22">
        <v>2020</v>
      </c>
      <c r="M22" t="s">
        <v>46</v>
      </c>
      <c r="N22" s="4">
        <f t="shared" si="1"/>
        <v>2100.5</v>
      </c>
      <c r="O22">
        <v>144.6</v>
      </c>
      <c r="P22">
        <v>188.5</v>
      </c>
      <c r="Q22">
        <v>173.4</v>
      </c>
      <c r="R22">
        <v>154</v>
      </c>
      <c r="S22">
        <v>150</v>
      </c>
      <c r="T22">
        <v>145.9</v>
      </c>
      <c r="U22">
        <v>225.2</v>
      </c>
      <c r="V22">
        <v>159.5</v>
      </c>
      <c r="W22">
        <v>114.4</v>
      </c>
      <c r="X22">
        <v>163.5</v>
      </c>
      <c r="Y22">
        <v>153.4</v>
      </c>
      <c r="Z22">
        <v>163.6</v>
      </c>
      <c r="AA22">
        <v>164.5</v>
      </c>
    </row>
    <row r="23" spans="1:27" x14ac:dyDescent="0.3">
      <c r="K23" t="s">
        <v>30</v>
      </c>
      <c r="L23">
        <v>2021</v>
      </c>
      <c r="M23" t="s">
        <v>31</v>
      </c>
      <c r="N23" s="4">
        <f t="shared" ref="N23:N27" si="2">SUM(O23:AA23)</f>
        <v>2065.6999999999998</v>
      </c>
      <c r="O23">
        <v>143.4</v>
      </c>
      <c r="P23">
        <v>187.5</v>
      </c>
      <c r="Q23">
        <v>173.4</v>
      </c>
      <c r="R23">
        <v>154</v>
      </c>
      <c r="S23">
        <v>154.80000000000001</v>
      </c>
      <c r="T23">
        <v>147</v>
      </c>
      <c r="U23">
        <v>187.8</v>
      </c>
      <c r="V23">
        <v>159.5</v>
      </c>
      <c r="W23">
        <v>113.8</v>
      </c>
      <c r="X23">
        <v>164.5</v>
      </c>
      <c r="Y23">
        <v>156.1</v>
      </c>
      <c r="Z23">
        <v>164.3</v>
      </c>
      <c r="AA23">
        <v>159.6</v>
      </c>
    </row>
    <row r="24" spans="1:27" x14ac:dyDescent="0.3">
      <c r="K24" t="s">
        <v>30</v>
      </c>
      <c r="L24">
        <v>2021</v>
      </c>
      <c r="M24" t="s">
        <v>46</v>
      </c>
      <c r="N24" s="4">
        <f t="shared" si="2"/>
        <v>2168.1999999999998</v>
      </c>
      <c r="O24">
        <v>147.4</v>
      </c>
      <c r="P24">
        <v>197</v>
      </c>
      <c r="Q24">
        <v>176.5</v>
      </c>
      <c r="R24">
        <v>159.80000000000001</v>
      </c>
      <c r="S24">
        <v>195.8</v>
      </c>
      <c r="T24">
        <v>152</v>
      </c>
      <c r="U24">
        <v>172.3</v>
      </c>
      <c r="V24">
        <v>164.5</v>
      </c>
      <c r="W24">
        <v>120.6</v>
      </c>
      <c r="X24">
        <v>171.7</v>
      </c>
      <c r="Y24">
        <v>169.7</v>
      </c>
      <c r="Z24">
        <v>175.1</v>
      </c>
      <c r="AA24">
        <v>165.8</v>
      </c>
    </row>
    <row r="25" spans="1:27" x14ac:dyDescent="0.3">
      <c r="K25" t="s">
        <v>30</v>
      </c>
      <c r="L25">
        <v>2022</v>
      </c>
      <c r="M25" t="s">
        <v>31</v>
      </c>
      <c r="N25" s="4">
        <f t="shared" si="2"/>
        <v>2153</v>
      </c>
      <c r="O25">
        <v>148.30000000000001</v>
      </c>
      <c r="P25">
        <v>196.9</v>
      </c>
      <c r="Q25">
        <v>178</v>
      </c>
      <c r="R25">
        <v>160.5</v>
      </c>
      <c r="S25">
        <v>192.6</v>
      </c>
      <c r="T25">
        <v>151.19999999999999</v>
      </c>
      <c r="U25">
        <v>159.19999999999999</v>
      </c>
      <c r="V25">
        <v>164</v>
      </c>
      <c r="W25">
        <v>119.3</v>
      </c>
      <c r="X25">
        <v>173.3</v>
      </c>
      <c r="Y25">
        <v>169.8</v>
      </c>
      <c r="Z25">
        <v>175.8</v>
      </c>
      <c r="AA25">
        <v>164.1</v>
      </c>
    </row>
    <row r="26" spans="1:27" x14ac:dyDescent="0.3">
      <c r="K26" t="s">
        <v>30</v>
      </c>
      <c r="L26">
        <v>2022</v>
      </c>
      <c r="M26" t="s">
        <v>46</v>
      </c>
      <c r="N26" s="4">
        <f t="shared" si="2"/>
        <v>2277.1</v>
      </c>
      <c r="O26">
        <v>168.8</v>
      </c>
      <c r="P26">
        <v>206.9</v>
      </c>
      <c r="Q26">
        <v>189.1</v>
      </c>
      <c r="R26">
        <v>173.4</v>
      </c>
      <c r="S26">
        <v>193.9</v>
      </c>
      <c r="T26">
        <v>156.69999999999999</v>
      </c>
      <c r="U26">
        <v>150.19999999999999</v>
      </c>
      <c r="V26">
        <v>170.5</v>
      </c>
      <c r="W26">
        <v>121.2</v>
      </c>
      <c r="X26">
        <v>207.5</v>
      </c>
      <c r="Y26">
        <v>176.8</v>
      </c>
      <c r="Z26">
        <v>187.7</v>
      </c>
      <c r="AA26">
        <v>174.4</v>
      </c>
    </row>
    <row r="27" spans="1:27" x14ac:dyDescent="0.3">
      <c r="K27" t="s">
        <v>30</v>
      </c>
      <c r="L27">
        <v>2023</v>
      </c>
      <c r="M27" t="s">
        <v>31</v>
      </c>
      <c r="N27" s="4">
        <f t="shared" si="2"/>
        <v>2283.2000000000003</v>
      </c>
      <c r="O27">
        <v>174</v>
      </c>
      <c r="P27">
        <v>208.3</v>
      </c>
      <c r="Q27">
        <v>192.9</v>
      </c>
      <c r="R27">
        <v>174.3</v>
      </c>
      <c r="S27">
        <v>192.6</v>
      </c>
      <c r="T27">
        <v>156.30000000000001</v>
      </c>
      <c r="U27">
        <v>142.9</v>
      </c>
      <c r="V27">
        <v>170.7</v>
      </c>
      <c r="W27">
        <v>120.3</v>
      </c>
      <c r="X27">
        <v>210.5</v>
      </c>
      <c r="Y27">
        <v>176.9</v>
      </c>
      <c r="Z27">
        <v>188.5</v>
      </c>
      <c r="AA27">
        <v>175</v>
      </c>
    </row>
    <row r="31" spans="1:27" x14ac:dyDescent="0.3">
      <c r="K31" s="1" t="s">
        <v>0</v>
      </c>
      <c r="L31" s="1" t="s">
        <v>1</v>
      </c>
      <c r="M31" s="1" t="s">
        <v>2</v>
      </c>
      <c r="N31" s="1" t="s">
        <v>95</v>
      </c>
    </row>
    <row r="32" spans="1:27" x14ac:dyDescent="0.3">
      <c r="K32" t="s">
        <v>30</v>
      </c>
      <c r="L32">
        <v>2018</v>
      </c>
      <c r="M32" t="s">
        <v>31</v>
      </c>
      <c r="N32">
        <v>136</v>
      </c>
    </row>
    <row r="33" spans="1:21" x14ac:dyDescent="0.3">
      <c r="K33" t="s">
        <v>30</v>
      </c>
      <c r="L33">
        <v>2018</v>
      </c>
      <c r="M33" t="s">
        <v>46</v>
      </c>
      <c r="N33">
        <v>149.6</v>
      </c>
    </row>
    <row r="34" spans="1:21" x14ac:dyDescent="0.3">
      <c r="K34" t="s">
        <v>30</v>
      </c>
      <c r="L34">
        <v>2019</v>
      </c>
      <c r="M34" t="s">
        <v>31</v>
      </c>
      <c r="N34">
        <v>149.6</v>
      </c>
    </row>
    <row r="35" spans="1:21" x14ac:dyDescent="0.3">
      <c r="K35" t="s">
        <v>30</v>
      </c>
      <c r="L35">
        <v>2019</v>
      </c>
      <c r="M35" t="s">
        <v>46</v>
      </c>
      <c r="N35">
        <v>154.80000000000001</v>
      </c>
    </row>
    <row r="36" spans="1:21" x14ac:dyDescent="0.3">
      <c r="K36" t="s">
        <v>30</v>
      </c>
      <c r="L36">
        <v>2020</v>
      </c>
      <c r="M36" t="s">
        <v>31</v>
      </c>
      <c r="N36">
        <v>155.69999999999999</v>
      </c>
    </row>
    <row r="37" spans="1:21" x14ac:dyDescent="0.3">
      <c r="K37" t="s">
        <v>30</v>
      </c>
      <c r="L37">
        <v>2020</v>
      </c>
      <c r="M37" t="s">
        <v>46</v>
      </c>
      <c r="N37">
        <v>161.6</v>
      </c>
    </row>
    <row r="38" spans="1:21" x14ac:dyDescent="0.3">
      <c r="K38" t="s">
        <v>30</v>
      </c>
      <c r="L38">
        <v>2021</v>
      </c>
      <c r="M38" t="s">
        <v>31</v>
      </c>
      <c r="N38">
        <v>162.5</v>
      </c>
    </row>
    <row r="39" spans="1:21" ht="25.8" x14ac:dyDescent="0.5">
      <c r="A39" s="23" t="s">
        <v>115</v>
      </c>
      <c r="K39" t="s">
        <v>30</v>
      </c>
      <c r="L39">
        <v>2021</v>
      </c>
      <c r="M39" t="s">
        <v>46</v>
      </c>
      <c r="N39">
        <v>174</v>
      </c>
    </row>
    <row r="40" spans="1:21" ht="25.8" x14ac:dyDescent="0.5">
      <c r="A40" s="23" t="s">
        <v>114</v>
      </c>
      <c r="K40" t="s">
        <v>30</v>
      </c>
      <c r="L40">
        <v>2022</v>
      </c>
      <c r="M40" t="s">
        <v>31</v>
      </c>
      <c r="N40">
        <v>174.7</v>
      </c>
    </row>
    <row r="41" spans="1:21" x14ac:dyDescent="0.3">
      <c r="K41" t="s">
        <v>30</v>
      </c>
      <c r="L41">
        <v>2022</v>
      </c>
      <c r="M41" t="s">
        <v>46</v>
      </c>
      <c r="N41">
        <v>183.5</v>
      </c>
    </row>
    <row r="42" spans="1:21" x14ac:dyDescent="0.3">
      <c r="K42" t="s">
        <v>30</v>
      </c>
      <c r="L42">
        <v>2023</v>
      </c>
      <c r="M42" t="s">
        <v>31</v>
      </c>
      <c r="N42">
        <v>184.7</v>
      </c>
    </row>
    <row r="46" spans="1:21" x14ac:dyDescent="0.3">
      <c r="K46" s="1" t="s">
        <v>0</v>
      </c>
      <c r="L46" s="1" t="s">
        <v>1</v>
      </c>
      <c r="M46" s="1" t="s">
        <v>2</v>
      </c>
      <c r="N46" s="1" t="s">
        <v>92</v>
      </c>
      <c r="O46" s="1" t="s">
        <v>17</v>
      </c>
      <c r="P46" s="1" t="s">
        <v>18</v>
      </c>
      <c r="Q46" s="1" t="s">
        <v>19</v>
      </c>
      <c r="R46" s="1" t="s">
        <v>21</v>
      </c>
      <c r="S46" s="1" t="s">
        <v>22</v>
      </c>
      <c r="T46" s="1" t="s">
        <v>24</v>
      </c>
      <c r="U46" s="1" t="s">
        <v>25</v>
      </c>
    </row>
    <row r="47" spans="1:21" x14ac:dyDescent="0.3">
      <c r="K47" t="s">
        <v>30</v>
      </c>
      <c r="L47">
        <v>2018</v>
      </c>
      <c r="M47" t="s">
        <v>31</v>
      </c>
      <c r="N47">
        <f>SUM(O47:U47)</f>
        <v>977.2</v>
      </c>
      <c r="O47">
        <v>148.30000000000001</v>
      </c>
      <c r="P47">
        <v>142.30000000000001</v>
      </c>
      <c r="Q47">
        <v>147.5</v>
      </c>
      <c r="R47">
        <v>142.30000000000001</v>
      </c>
      <c r="S47">
        <v>139.80000000000001</v>
      </c>
      <c r="T47">
        <v>122.7</v>
      </c>
      <c r="U47">
        <v>134.30000000000001</v>
      </c>
    </row>
    <row r="48" spans="1:21" x14ac:dyDescent="0.3">
      <c r="K48" t="s">
        <v>30</v>
      </c>
      <c r="L48">
        <v>2018</v>
      </c>
      <c r="M48" t="s">
        <v>46</v>
      </c>
      <c r="N48">
        <f t="shared" ref="N48:N56" si="3">SUM(O48:U48)</f>
        <v>1019</v>
      </c>
      <c r="O48">
        <v>151.6</v>
      </c>
      <c r="P48">
        <v>145.9</v>
      </c>
      <c r="Q48">
        <v>150.80000000000001</v>
      </c>
      <c r="R48">
        <v>149</v>
      </c>
      <c r="S48">
        <v>149.5</v>
      </c>
      <c r="T48">
        <v>128.9</v>
      </c>
      <c r="U48">
        <v>143.30000000000001</v>
      </c>
    </row>
    <row r="49" spans="1:27" x14ac:dyDescent="0.3">
      <c r="K49" t="s">
        <v>30</v>
      </c>
      <c r="L49">
        <v>2019</v>
      </c>
      <c r="M49" t="s">
        <v>31</v>
      </c>
      <c r="N49">
        <f t="shared" si="3"/>
        <v>1013.4</v>
      </c>
      <c r="O49">
        <v>150.6</v>
      </c>
      <c r="P49">
        <v>145.1</v>
      </c>
      <c r="Q49">
        <v>149.9</v>
      </c>
      <c r="R49">
        <v>146.19999999999999</v>
      </c>
      <c r="S49">
        <v>150.1</v>
      </c>
      <c r="T49">
        <v>128.6</v>
      </c>
      <c r="U49">
        <v>142.9</v>
      </c>
    </row>
    <row r="50" spans="1:27" x14ac:dyDescent="0.3">
      <c r="K50" t="s">
        <v>30</v>
      </c>
      <c r="L50">
        <v>2019</v>
      </c>
      <c r="M50" t="s">
        <v>46</v>
      </c>
      <c r="N50">
        <f t="shared" si="3"/>
        <v>1037.3999999999999</v>
      </c>
      <c r="O50">
        <v>152.6</v>
      </c>
      <c r="P50">
        <v>147.30000000000001</v>
      </c>
      <c r="Q50">
        <v>151.9</v>
      </c>
      <c r="R50">
        <v>149.9</v>
      </c>
      <c r="S50">
        <v>151.19999999999999</v>
      </c>
      <c r="T50">
        <v>135</v>
      </c>
      <c r="U50">
        <v>149.5</v>
      </c>
    </row>
    <row r="51" spans="1:27" x14ac:dyDescent="0.3">
      <c r="K51" t="s">
        <v>30</v>
      </c>
      <c r="L51">
        <v>2020</v>
      </c>
      <c r="M51" t="s">
        <v>31</v>
      </c>
      <c r="N51">
        <f t="shared" si="3"/>
        <v>1040.8</v>
      </c>
      <c r="O51">
        <v>152.80000000000001</v>
      </c>
      <c r="P51">
        <v>147.4</v>
      </c>
      <c r="Q51">
        <v>152.1</v>
      </c>
      <c r="R51">
        <v>150.4</v>
      </c>
      <c r="S51">
        <v>151.69999999999999</v>
      </c>
      <c r="T51">
        <v>136.30000000000001</v>
      </c>
      <c r="U51">
        <v>150.1</v>
      </c>
    </row>
    <row r="52" spans="1:27" x14ac:dyDescent="0.3">
      <c r="K52" t="s">
        <v>30</v>
      </c>
      <c r="L52">
        <v>2020</v>
      </c>
      <c r="M52" t="s">
        <v>46</v>
      </c>
      <c r="N52">
        <f t="shared" si="3"/>
        <v>1067.3</v>
      </c>
      <c r="O52">
        <v>157</v>
      </c>
      <c r="P52">
        <v>151.6</v>
      </c>
      <c r="Q52">
        <v>156.30000000000001</v>
      </c>
      <c r="R52">
        <v>148.69999999999999</v>
      </c>
      <c r="S52">
        <v>153.4</v>
      </c>
      <c r="T52">
        <v>146.4</v>
      </c>
      <c r="U52">
        <v>153.9</v>
      </c>
    </row>
    <row r="53" spans="1:27" x14ac:dyDescent="0.3">
      <c r="K53" t="s">
        <v>30</v>
      </c>
      <c r="L53">
        <v>2021</v>
      </c>
      <c r="M53" t="s">
        <v>31</v>
      </c>
      <c r="N53">
        <f t="shared" si="3"/>
        <v>1074.0999999999999</v>
      </c>
      <c r="O53">
        <v>157.5</v>
      </c>
      <c r="P53">
        <v>152.4</v>
      </c>
      <c r="Q53">
        <v>156.80000000000001</v>
      </c>
      <c r="R53">
        <v>150.9</v>
      </c>
      <c r="S53">
        <v>153.9</v>
      </c>
      <c r="T53">
        <v>147.5</v>
      </c>
      <c r="U53">
        <v>155.1</v>
      </c>
    </row>
    <row r="54" spans="1:27" x14ac:dyDescent="0.3">
      <c r="K54" t="s">
        <v>30</v>
      </c>
      <c r="L54">
        <v>2021</v>
      </c>
      <c r="M54" t="s">
        <v>46</v>
      </c>
      <c r="N54">
        <f t="shared" si="3"/>
        <v>1164.4000000000001</v>
      </c>
      <c r="O54">
        <v>171.8</v>
      </c>
      <c r="P54">
        <v>167.3</v>
      </c>
      <c r="Q54">
        <v>171.2</v>
      </c>
      <c r="R54">
        <v>165.6</v>
      </c>
      <c r="S54">
        <v>163.9</v>
      </c>
      <c r="T54">
        <v>160.1</v>
      </c>
      <c r="U54">
        <v>164.5</v>
      </c>
    </row>
    <row r="55" spans="1:27" x14ac:dyDescent="0.3">
      <c r="K55" t="s">
        <v>30</v>
      </c>
      <c r="L55">
        <v>2022</v>
      </c>
      <c r="M55" t="s">
        <v>31</v>
      </c>
      <c r="N55">
        <f t="shared" si="3"/>
        <v>1171.6000000000001</v>
      </c>
      <c r="O55">
        <v>173.2</v>
      </c>
      <c r="P55">
        <v>169.3</v>
      </c>
      <c r="Q55">
        <v>172.7</v>
      </c>
      <c r="R55">
        <v>165.8</v>
      </c>
      <c r="S55">
        <v>164.9</v>
      </c>
      <c r="T55">
        <v>160.80000000000001</v>
      </c>
      <c r="U55">
        <v>164.9</v>
      </c>
    </row>
    <row r="56" spans="1:27" x14ac:dyDescent="0.3">
      <c r="K56" t="s">
        <v>30</v>
      </c>
      <c r="L56">
        <v>2022</v>
      </c>
      <c r="M56" t="s">
        <v>46</v>
      </c>
      <c r="N56">
        <f t="shared" si="3"/>
        <v>1260</v>
      </c>
      <c r="O56">
        <v>188.1</v>
      </c>
      <c r="P56">
        <v>185.9</v>
      </c>
      <c r="Q56">
        <v>187.8</v>
      </c>
      <c r="R56">
        <v>182.8</v>
      </c>
      <c r="S56">
        <v>176.4</v>
      </c>
      <c r="T56">
        <v>167.8</v>
      </c>
      <c r="U56">
        <v>171.2</v>
      </c>
    </row>
    <row r="59" spans="1:27" s="7" customFormat="1" x14ac:dyDescent="0.3"/>
    <row r="62" spans="1:27" ht="25.8" x14ac:dyDescent="0.5">
      <c r="A62" s="53" t="s">
        <v>33</v>
      </c>
    </row>
    <row r="63" spans="1:27" x14ac:dyDescent="0.3">
      <c r="K63" s="1" t="s">
        <v>0</v>
      </c>
      <c r="L63" s="1" t="s">
        <v>1</v>
      </c>
      <c r="M63" s="1" t="s">
        <v>2</v>
      </c>
      <c r="N63" s="1" t="s">
        <v>92</v>
      </c>
      <c r="O63" s="1" t="s">
        <v>3</v>
      </c>
      <c r="P63" s="1" t="s">
        <v>4</v>
      </c>
      <c r="Q63" s="1" t="s">
        <v>5</v>
      </c>
      <c r="R63" s="1" t="s">
        <v>6</v>
      </c>
      <c r="S63" s="1" t="s">
        <v>7</v>
      </c>
      <c r="T63" s="1" t="s">
        <v>8</v>
      </c>
      <c r="U63" s="1" t="s">
        <v>9</v>
      </c>
      <c r="V63" s="1" t="s">
        <v>10</v>
      </c>
      <c r="W63" s="1" t="s">
        <v>11</v>
      </c>
      <c r="X63" s="1" t="s">
        <v>12</v>
      </c>
      <c r="Y63" s="1" t="s">
        <v>13</v>
      </c>
      <c r="Z63" s="1" t="s">
        <v>14</v>
      </c>
      <c r="AA63" s="1" t="s">
        <v>15</v>
      </c>
    </row>
    <row r="64" spans="1:27" x14ac:dyDescent="0.3">
      <c r="C64" s="3" t="s">
        <v>88</v>
      </c>
      <c r="D64" s="3" t="s">
        <v>88</v>
      </c>
      <c r="E64" s="41" t="s">
        <v>90</v>
      </c>
      <c r="F64" s="40" t="s">
        <v>89</v>
      </c>
      <c r="G64" s="40" t="s">
        <v>89</v>
      </c>
      <c r="K64" t="s">
        <v>33</v>
      </c>
      <c r="L64">
        <v>2018</v>
      </c>
      <c r="M64" t="s">
        <v>31</v>
      </c>
      <c r="N64">
        <f>SUM(O64:AA64)</f>
        <v>1748.3000000000002</v>
      </c>
      <c r="O64">
        <v>134.6</v>
      </c>
      <c r="P64">
        <v>143.69999999999999</v>
      </c>
      <c r="Q64">
        <v>143.6</v>
      </c>
      <c r="R64">
        <v>139.6</v>
      </c>
      <c r="S64">
        <v>116.4</v>
      </c>
      <c r="T64">
        <v>133.80000000000001</v>
      </c>
      <c r="U64">
        <v>150.5</v>
      </c>
      <c r="V64">
        <v>118.4</v>
      </c>
      <c r="W64">
        <v>117.3</v>
      </c>
      <c r="X64">
        <v>140.5</v>
      </c>
      <c r="Y64">
        <v>125.9</v>
      </c>
      <c r="Z64">
        <v>146.80000000000001</v>
      </c>
      <c r="AA64">
        <v>137.19999999999999</v>
      </c>
    </row>
    <row r="65" spans="1:27" x14ac:dyDescent="0.3">
      <c r="A65" s="1" t="s">
        <v>0</v>
      </c>
      <c r="B65" s="1" t="s">
        <v>80</v>
      </c>
      <c r="C65" s="22">
        <v>2018</v>
      </c>
      <c r="D65" s="22">
        <v>2019</v>
      </c>
      <c r="E65" s="22">
        <v>2020</v>
      </c>
      <c r="F65" s="22">
        <v>2021</v>
      </c>
      <c r="G65" s="22">
        <v>2022</v>
      </c>
      <c r="K65" t="s">
        <v>33</v>
      </c>
      <c r="L65">
        <v>2018</v>
      </c>
      <c r="M65" t="s">
        <v>46</v>
      </c>
      <c r="N65">
        <f>SUM(O65:AA65)</f>
        <v>1746.6</v>
      </c>
      <c r="O65">
        <v>138.5</v>
      </c>
      <c r="P65">
        <v>147.80000000000001</v>
      </c>
      <c r="Q65">
        <v>141.1</v>
      </c>
      <c r="R65">
        <v>141.6</v>
      </c>
      <c r="S65">
        <v>118.1</v>
      </c>
      <c r="T65">
        <v>138.5</v>
      </c>
      <c r="U65">
        <v>132.4</v>
      </c>
      <c r="V65">
        <v>117.5</v>
      </c>
      <c r="W65">
        <v>111</v>
      </c>
      <c r="X65">
        <v>141.5</v>
      </c>
      <c r="Y65">
        <v>128.1</v>
      </c>
      <c r="Z65">
        <v>152.9</v>
      </c>
      <c r="AA65">
        <v>137.6</v>
      </c>
    </row>
    <row r="66" spans="1:27" x14ac:dyDescent="0.3">
      <c r="A66" t="s">
        <v>33</v>
      </c>
      <c r="B66" t="s">
        <v>60</v>
      </c>
      <c r="C66" s="2">
        <f>(N65-N64)/N64</f>
        <v>-9.7237316250087095E-4</v>
      </c>
      <c r="D66" s="2">
        <f>(N67-N66)/N66</f>
        <v>0.12176804448776005</v>
      </c>
      <c r="E66" s="2">
        <f>(N69-N68)/N68</f>
        <v>9.2525958671738587E-2</v>
      </c>
      <c r="F66" s="2">
        <f>(N71-N70)/N70</f>
        <v>5.212207916070586E-2</v>
      </c>
      <c r="G66" s="2">
        <f>(N73-N72)/N72</f>
        <v>4.9892532126034624E-2</v>
      </c>
      <c r="K66" t="s">
        <v>33</v>
      </c>
      <c r="L66">
        <v>2019</v>
      </c>
      <c r="M66" t="s">
        <v>31</v>
      </c>
      <c r="N66">
        <f>SUM(O66:AA66)</f>
        <v>1744.3000000000002</v>
      </c>
      <c r="O66">
        <v>138.30000000000001</v>
      </c>
      <c r="P66">
        <v>149.4</v>
      </c>
      <c r="Q66">
        <v>143.5</v>
      </c>
      <c r="R66">
        <v>141.69999999999999</v>
      </c>
      <c r="S66">
        <v>118.1</v>
      </c>
      <c r="T66">
        <v>135.19999999999999</v>
      </c>
      <c r="U66">
        <v>130.5</v>
      </c>
      <c r="V66">
        <v>118.2</v>
      </c>
      <c r="W66">
        <v>110.4</v>
      </c>
      <c r="X66">
        <v>140.4</v>
      </c>
      <c r="Y66">
        <v>128.1</v>
      </c>
      <c r="Z66">
        <v>153.19999999999999</v>
      </c>
      <c r="AA66">
        <v>137.30000000000001</v>
      </c>
    </row>
    <row r="67" spans="1:27" x14ac:dyDescent="0.3">
      <c r="A67" t="s">
        <v>33</v>
      </c>
      <c r="B67" t="s">
        <v>23</v>
      </c>
      <c r="C67" s="2">
        <f>(N80-N79)/N79</f>
        <v>4.3447293447293402E-2</v>
      </c>
      <c r="D67" s="2">
        <f>(N82-N81)/N81</f>
        <v>3.4529451591063125E-2</v>
      </c>
      <c r="E67" s="2">
        <f>(N84-N83)/N83</f>
        <v>2.9239766081871343E-2</v>
      </c>
      <c r="F67" s="2">
        <f>(N86-N85)/N85</f>
        <v>3.6144578313253121E-2</v>
      </c>
      <c r="G67" s="2">
        <f>(N88-N87)/N87</f>
        <v>3.7689969604863149E-2</v>
      </c>
      <c r="K67" t="s">
        <v>33</v>
      </c>
      <c r="L67">
        <v>2019</v>
      </c>
      <c r="M67" t="s">
        <v>46</v>
      </c>
      <c r="N67">
        <f>SUM(O67:AA67)</f>
        <v>1956.7</v>
      </c>
      <c r="O67">
        <v>144.9</v>
      </c>
      <c r="P67">
        <v>164.5</v>
      </c>
      <c r="Q67">
        <v>153.69999999999999</v>
      </c>
      <c r="R67">
        <v>147.5</v>
      </c>
      <c r="S67">
        <v>122.7</v>
      </c>
      <c r="T67">
        <v>147.19999999999999</v>
      </c>
      <c r="U67">
        <v>231.5</v>
      </c>
      <c r="V67">
        <v>137.19999999999999</v>
      </c>
      <c r="W67">
        <v>114.7</v>
      </c>
      <c r="X67">
        <v>148</v>
      </c>
      <c r="Y67">
        <v>130.80000000000001</v>
      </c>
      <c r="Z67">
        <v>157.69999999999999</v>
      </c>
      <c r="AA67">
        <v>156.30000000000001</v>
      </c>
    </row>
    <row r="68" spans="1:27" x14ac:dyDescent="0.3">
      <c r="A68" t="s">
        <v>33</v>
      </c>
      <c r="B68" t="s">
        <v>94</v>
      </c>
      <c r="C68" s="2">
        <f>(N94-N93)/N93</f>
        <v>4.1648057168378945E-2</v>
      </c>
      <c r="D68" s="2">
        <f>(N96-N95)/N95</f>
        <v>3.1938918163243409E-2</v>
      </c>
      <c r="E68" s="2">
        <f>(N98-N97)/N97</f>
        <v>3.9227895392278903E-2</v>
      </c>
      <c r="F68" s="2">
        <f>(N100-N99)/N99</f>
        <v>8.5963003264417942E-2</v>
      </c>
      <c r="G68" s="2">
        <f>(N102-N101)/N101</f>
        <v>7.9102181192868007E-2</v>
      </c>
      <c r="K68" t="s">
        <v>33</v>
      </c>
      <c r="L68">
        <v>2020</v>
      </c>
      <c r="M68" t="s">
        <v>31</v>
      </c>
      <c r="N68">
        <f t="shared" ref="N68:N72" si="4">SUM(O68:AA68)</f>
        <v>1945.3999999999999</v>
      </c>
      <c r="O68">
        <v>145.6</v>
      </c>
      <c r="P68">
        <v>167.6</v>
      </c>
      <c r="Q68">
        <v>157</v>
      </c>
      <c r="R68">
        <v>149.30000000000001</v>
      </c>
      <c r="S68">
        <v>126.3</v>
      </c>
      <c r="T68">
        <v>144.4</v>
      </c>
      <c r="U68">
        <v>207.8</v>
      </c>
      <c r="V68">
        <v>139.1</v>
      </c>
      <c r="W68">
        <v>114.8</v>
      </c>
      <c r="X68">
        <v>149.5</v>
      </c>
      <c r="Y68">
        <v>131.1</v>
      </c>
      <c r="Z68">
        <v>158.5</v>
      </c>
      <c r="AA68">
        <v>154.4</v>
      </c>
    </row>
    <row r="69" spans="1:27" x14ac:dyDescent="0.3">
      <c r="K69" t="s">
        <v>33</v>
      </c>
      <c r="L69">
        <v>2020</v>
      </c>
      <c r="M69" t="s">
        <v>46</v>
      </c>
      <c r="N69">
        <f t="shared" si="4"/>
        <v>2125.4</v>
      </c>
      <c r="O69">
        <v>149</v>
      </c>
      <c r="P69">
        <v>195.7</v>
      </c>
      <c r="Q69">
        <v>178.3</v>
      </c>
      <c r="R69">
        <v>154.19999999999999</v>
      </c>
      <c r="S69">
        <v>140.69999999999999</v>
      </c>
      <c r="T69">
        <v>149.69999999999999</v>
      </c>
      <c r="U69">
        <v>240.9</v>
      </c>
      <c r="V69">
        <v>161.5</v>
      </c>
      <c r="W69">
        <v>117.1</v>
      </c>
      <c r="X69">
        <v>161.9</v>
      </c>
      <c r="Y69">
        <v>143.30000000000001</v>
      </c>
      <c r="Z69">
        <v>166.1</v>
      </c>
      <c r="AA69">
        <v>167</v>
      </c>
    </row>
    <row r="70" spans="1:27" x14ac:dyDescent="0.3">
      <c r="K70" t="s">
        <v>33</v>
      </c>
      <c r="L70">
        <v>2021</v>
      </c>
      <c r="M70" t="s">
        <v>31</v>
      </c>
      <c r="N70">
        <f t="shared" si="4"/>
        <v>2097</v>
      </c>
      <c r="O70">
        <v>148</v>
      </c>
      <c r="P70">
        <v>194.8</v>
      </c>
      <c r="Q70">
        <v>178.4</v>
      </c>
      <c r="R70">
        <v>154.4</v>
      </c>
      <c r="S70">
        <v>144.1</v>
      </c>
      <c r="T70">
        <v>152.6</v>
      </c>
      <c r="U70">
        <v>206.8</v>
      </c>
      <c r="V70">
        <v>162.1</v>
      </c>
      <c r="W70">
        <v>116.3</v>
      </c>
      <c r="X70">
        <v>163</v>
      </c>
      <c r="Y70">
        <v>145.9</v>
      </c>
      <c r="Z70">
        <v>167.2</v>
      </c>
      <c r="AA70">
        <v>163.4</v>
      </c>
    </row>
    <row r="71" spans="1:27" x14ac:dyDescent="0.3">
      <c r="K71" t="s">
        <v>33</v>
      </c>
      <c r="L71">
        <v>2021</v>
      </c>
      <c r="M71" t="s">
        <v>46</v>
      </c>
      <c r="N71">
        <f t="shared" si="4"/>
        <v>2206.3000000000002</v>
      </c>
      <c r="O71">
        <v>151.6</v>
      </c>
      <c r="P71">
        <v>202.2</v>
      </c>
      <c r="Q71">
        <v>180</v>
      </c>
      <c r="R71">
        <v>160</v>
      </c>
      <c r="S71">
        <v>173.5</v>
      </c>
      <c r="T71">
        <v>158.30000000000001</v>
      </c>
      <c r="U71">
        <v>219.5</v>
      </c>
      <c r="V71">
        <v>164.2</v>
      </c>
      <c r="W71">
        <v>121.9</v>
      </c>
      <c r="X71">
        <v>168.2</v>
      </c>
      <c r="Y71">
        <v>156.5</v>
      </c>
      <c r="Z71">
        <v>178.2</v>
      </c>
      <c r="AA71">
        <v>172.2</v>
      </c>
    </row>
    <row r="72" spans="1:27" x14ac:dyDescent="0.3">
      <c r="K72" t="s">
        <v>33</v>
      </c>
      <c r="L72">
        <v>2022</v>
      </c>
      <c r="M72" t="s">
        <v>31</v>
      </c>
      <c r="N72">
        <f t="shared" si="4"/>
        <v>2186.6999999999998</v>
      </c>
      <c r="O72">
        <v>152.19999999999999</v>
      </c>
      <c r="P72">
        <v>202.1</v>
      </c>
      <c r="Q72">
        <v>180.1</v>
      </c>
      <c r="R72">
        <v>160.4</v>
      </c>
      <c r="S72">
        <v>171</v>
      </c>
      <c r="T72">
        <v>156.5</v>
      </c>
      <c r="U72">
        <v>203.6</v>
      </c>
      <c r="V72">
        <v>163.80000000000001</v>
      </c>
      <c r="W72">
        <v>121.3</v>
      </c>
      <c r="X72">
        <v>169.8</v>
      </c>
      <c r="Y72">
        <v>156.6</v>
      </c>
      <c r="Z72">
        <v>179</v>
      </c>
      <c r="AA72">
        <v>170.3</v>
      </c>
    </row>
    <row r="73" spans="1:27" x14ac:dyDescent="0.3">
      <c r="K73" t="s">
        <v>33</v>
      </c>
      <c r="L73">
        <v>2022</v>
      </c>
      <c r="M73" t="s">
        <v>46</v>
      </c>
      <c r="N73">
        <f>SUM(O73:AA73)</f>
        <v>2295.7999999999997</v>
      </c>
      <c r="O73">
        <v>170.2</v>
      </c>
      <c r="P73">
        <v>212.9</v>
      </c>
      <c r="Q73">
        <v>191.9</v>
      </c>
      <c r="R73">
        <v>173.9</v>
      </c>
      <c r="S73">
        <v>179.1</v>
      </c>
      <c r="T73">
        <v>159.5</v>
      </c>
      <c r="U73">
        <v>178.7</v>
      </c>
      <c r="V73">
        <v>171.3</v>
      </c>
      <c r="W73">
        <v>123.1</v>
      </c>
      <c r="X73">
        <v>200.5</v>
      </c>
      <c r="Y73">
        <v>162.80000000000001</v>
      </c>
      <c r="Z73">
        <v>193.3</v>
      </c>
      <c r="AA73">
        <v>178.6</v>
      </c>
    </row>
    <row r="78" spans="1:27" x14ac:dyDescent="0.3">
      <c r="K78" s="1" t="s">
        <v>0</v>
      </c>
      <c r="L78" s="1" t="s">
        <v>1</v>
      </c>
      <c r="M78" s="1" t="s">
        <v>2</v>
      </c>
      <c r="N78" s="1" t="s">
        <v>95</v>
      </c>
    </row>
    <row r="79" spans="1:27" x14ac:dyDescent="0.3">
      <c r="K79" t="s">
        <v>33</v>
      </c>
      <c r="L79">
        <v>2018</v>
      </c>
      <c r="M79" t="s">
        <v>31</v>
      </c>
      <c r="N79">
        <v>140.4</v>
      </c>
    </row>
    <row r="80" spans="1:27" x14ac:dyDescent="0.3">
      <c r="K80" t="s">
        <v>33</v>
      </c>
      <c r="L80">
        <v>2018</v>
      </c>
      <c r="M80" t="s">
        <v>46</v>
      </c>
      <c r="N80">
        <v>146.5</v>
      </c>
    </row>
    <row r="81" spans="1:21" x14ac:dyDescent="0.3">
      <c r="K81" t="s">
        <v>33</v>
      </c>
      <c r="L81">
        <v>2019</v>
      </c>
      <c r="M81" t="s">
        <v>31</v>
      </c>
      <c r="N81">
        <v>147.69999999999999</v>
      </c>
    </row>
    <row r="82" spans="1:21" x14ac:dyDescent="0.3">
      <c r="K82" t="s">
        <v>33</v>
      </c>
      <c r="L82">
        <v>2019</v>
      </c>
      <c r="M82" t="s">
        <v>46</v>
      </c>
      <c r="N82">
        <v>152.80000000000001</v>
      </c>
    </row>
    <row r="83" spans="1:21" x14ac:dyDescent="0.3">
      <c r="K83" t="s">
        <v>33</v>
      </c>
      <c r="L83">
        <v>2020</v>
      </c>
      <c r="M83" t="s">
        <v>31</v>
      </c>
      <c r="N83">
        <v>153.9</v>
      </c>
    </row>
    <row r="84" spans="1:21" x14ac:dyDescent="0.3">
      <c r="K84" t="s">
        <v>33</v>
      </c>
      <c r="L84">
        <v>2020</v>
      </c>
      <c r="M84" t="s">
        <v>46</v>
      </c>
      <c r="N84">
        <v>158.4</v>
      </c>
    </row>
    <row r="85" spans="1:21" x14ac:dyDescent="0.3">
      <c r="K85" t="s">
        <v>33</v>
      </c>
      <c r="L85">
        <v>2021</v>
      </c>
      <c r="M85" t="s">
        <v>31</v>
      </c>
      <c r="N85">
        <v>157.69999999999999</v>
      </c>
    </row>
    <row r="86" spans="1:21" x14ac:dyDescent="0.3">
      <c r="K86" t="s">
        <v>33</v>
      </c>
      <c r="L86">
        <v>2021</v>
      </c>
      <c r="M86" t="s">
        <v>46</v>
      </c>
      <c r="N86">
        <v>163.4</v>
      </c>
    </row>
    <row r="87" spans="1:21" x14ac:dyDescent="0.3">
      <c r="K87" t="s">
        <v>33</v>
      </c>
      <c r="L87">
        <v>2022</v>
      </c>
      <c r="M87" t="s">
        <v>31</v>
      </c>
      <c r="N87">
        <v>164.5</v>
      </c>
    </row>
    <row r="88" spans="1:21" x14ac:dyDescent="0.3">
      <c r="K88" t="s">
        <v>33</v>
      </c>
      <c r="L88">
        <v>2022</v>
      </c>
      <c r="M88" t="s">
        <v>46</v>
      </c>
      <c r="N88">
        <v>170.7</v>
      </c>
    </row>
    <row r="92" spans="1:21" ht="25.8" x14ac:dyDescent="0.5">
      <c r="A92" s="23" t="s">
        <v>113</v>
      </c>
      <c r="K92" s="1" t="s">
        <v>0</v>
      </c>
      <c r="L92" s="1" t="s">
        <v>1</v>
      </c>
      <c r="M92" s="1" t="s">
        <v>2</v>
      </c>
      <c r="N92" s="1" t="s">
        <v>92</v>
      </c>
      <c r="O92" s="1" t="s">
        <v>17</v>
      </c>
      <c r="P92" s="1" t="s">
        <v>18</v>
      </c>
      <c r="Q92" s="1" t="s">
        <v>19</v>
      </c>
      <c r="R92" s="1" t="s">
        <v>21</v>
      </c>
      <c r="S92" s="1" t="s">
        <v>22</v>
      </c>
      <c r="T92" s="1" t="s">
        <v>24</v>
      </c>
      <c r="U92" s="1" t="s">
        <v>25</v>
      </c>
    </row>
    <row r="93" spans="1:21" ht="25.8" x14ac:dyDescent="0.5">
      <c r="A93" s="23" t="s">
        <v>114</v>
      </c>
      <c r="K93" t="s">
        <v>33</v>
      </c>
      <c r="L93">
        <v>2018</v>
      </c>
      <c r="M93" t="s">
        <v>31</v>
      </c>
      <c r="N93">
        <f>SUM(O93:U93)</f>
        <v>895.59999999999991</v>
      </c>
      <c r="O93">
        <v>136</v>
      </c>
      <c r="P93">
        <v>125.9</v>
      </c>
      <c r="Q93">
        <v>134.4</v>
      </c>
      <c r="R93">
        <v>127.3</v>
      </c>
      <c r="S93">
        <v>129.5</v>
      </c>
      <c r="T93">
        <v>116.3</v>
      </c>
      <c r="U93">
        <v>126.2</v>
      </c>
    </row>
    <row r="94" spans="1:21" x14ac:dyDescent="0.3">
      <c r="K94" t="s">
        <v>33</v>
      </c>
      <c r="L94">
        <v>2018</v>
      </c>
      <c r="M94" t="s">
        <v>46</v>
      </c>
      <c r="N94">
        <f t="shared" ref="N94:N102" si="5">SUM(O94:U94)</f>
        <v>932.90000000000009</v>
      </c>
      <c r="O94">
        <v>142.69999999999999</v>
      </c>
      <c r="P94">
        <v>130.30000000000001</v>
      </c>
      <c r="Q94">
        <v>140.80000000000001</v>
      </c>
      <c r="R94">
        <v>132.4</v>
      </c>
      <c r="S94">
        <v>136.19999999999999</v>
      </c>
      <c r="T94">
        <v>118.8</v>
      </c>
      <c r="U94">
        <v>131.69999999999999</v>
      </c>
    </row>
    <row r="95" spans="1:21" x14ac:dyDescent="0.3">
      <c r="K95" t="s">
        <v>33</v>
      </c>
      <c r="L95">
        <v>2019</v>
      </c>
      <c r="M95" t="s">
        <v>31</v>
      </c>
      <c r="N95">
        <f t="shared" si="5"/>
        <v>929.90000000000009</v>
      </c>
      <c r="O95">
        <v>143</v>
      </c>
      <c r="P95">
        <v>130.4</v>
      </c>
      <c r="Q95">
        <v>141.1</v>
      </c>
      <c r="R95">
        <v>128.6</v>
      </c>
      <c r="S95">
        <v>136.30000000000001</v>
      </c>
      <c r="T95">
        <v>118.6</v>
      </c>
      <c r="U95">
        <v>131.9</v>
      </c>
    </row>
    <row r="96" spans="1:21" x14ac:dyDescent="0.3">
      <c r="K96" t="s">
        <v>33</v>
      </c>
      <c r="L96">
        <v>2019</v>
      </c>
      <c r="M96" t="s">
        <v>46</v>
      </c>
      <c r="N96">
        <f t="shared" si="5"/>
        <v>959.60000000000014</v>
      </c>
      <c r="O96">
        <v>146.80000000000001</v>
      </c>
      <c r="P96">
        <v>132.80000000000001</v>
      </c>
      <c r="Q96">
        <v>144.6</v>
      </c>
      <c r="R96">
        <v>133.6</v>
      </c>
      <c r="S96">
        <v>139.80000000000001</v>
      </c>
      <c r="T96">
        <v>125.2</v>
      </c>
      <c r="U96">
        <v>136.80000000000001</v>
      </c>
    </row>
    <row r="97" spans="1:27" x14ac:dyDescent="0.3">
      <c r="K97" t="s">
        <v>33</v>
      </c>
      <c r="L97">
        <v>2020</v>
      </c>
      <c r="M97" t="s">
        <v>31</v>
      </c>
      <c r="N97">
        <f t="shared" si="5"/>
        <v>963.60000000000014</v>
      </c>
      <c r="O97">
        <v>147</v>
      </c>
      <c r="P97">
        <v>133.19999999999999</v>
      </c>
      <c r="Q97">
        <v>144.9</v>
      </c>
      <c r="R97">
        <v>135.1</v>
      </c>
      <c r="S97">
        <v>140.1</v>
      </c>
      <c r="T97">
        <v>126.1</v>
      </c>
      <c r="U97">
        <v>137.19999999999999</v>
      </c>
    </row>
    <row r="98" spans="1:27" x14ac:dyDescent="0.3">
      <c r="K98" t="s">
        <v>33</v>
      </c>
      <c r="L98">
        <v>2020</v>
      </c>
      <c r="M98" t="s">
        <v>46</v>
      </c>
      <c r="N98">
        <f t="shared" si="5"/>
        <v>1001.4000000000001</v>
      </c>
      <c r="O98">
        <v>151.9</v>
      </c>
      <c r="P98">
        <v>136.69999999999999</v>
      </c>
      <c r="Q98">
        <v>149.6</v>
      </c>
      <c r="R98">
        <v>137.9</v>
      </c>
      <c r="S98">
        <v>145.5</v>
      </c>
      <c r="T98">
        <v>135.5</v>
      </c>
      <c r="U98">
        <v>144.30000000000001</v>
      </c>
    </row>
    <row r="99" spans="1:27" x14ac:dyDescent="0.3">
      <c r="K99" t="s">
        <v>33</v>
      </c>
      <c r="L99">
        <v>2021</v>
      </c>
      <c r="M99" t="s">
        <v>31</v>
      </c>
      <c r="N99">
        <f t="shared" si="5"/>
        <v>1010.8999999999999</v>
      </c>
      <c r="O99">
        <v>152.5</v>
      </c>
      <c r="P99">
        <v>137.30000000000001</v>
      </c>
      <c r="Q99">
        <v>150.19999999999999</v>
      </c>
      <c r="R99">
        <v>142.9</v>
      </c>
      <c r="S99">
        <v>145.69999999999999</v>
      </c>
      <c r="T99">
        <v>136.9</v>
      </c>
      <c r="U99">
        <v>145.4</v>
      </c>
    </row>
    <row r="100" spans="1:27" x14ac:dyDescent="0.3">
      <c r="K100" t="s">
        <v>33</v>
      </c>
      <c r="L100">
        <v>2021</v>
      </c>
      <c r="M100" t="s">
        <v>46</v>
      </c>
      <c r="N100">
        <f t="shared" si="5"/>
        <v>1097.8</v>
      </c>
      <c r="O100">
        <v>163.30000000000001</v>
      </c>
      <c r="P100">
        <v>146.69999999999999</v>
      </c>
      <c r="Q100">
        <v>160.69999999999999</v>
      </c>
      <c r="R100">
        <v>161.69999999999999</v>
      </c>
      <c r="S100">
        <v>156</v>
      </c>
      <c r="T100">
        <v>151.80000000000001</v>
      </c>
      <c r="U100">
        <v>157.6</v>
      </c>
    </row>
    <row r="101" spans="1:27" x14ac:dyDescent="0.3">
      <c r="K101" t="s">
        <v>33</v>
      </c>
      <c r="L101">
        <v>2022</v>
      </c>
      <c r="M101" t="s">
        <v>31</v>
      </c>
      <c r="N101">
        <f t="shared" si="5"/>
        <v>1104.9000000000001</v>
      </c>
      <c r="O101">
        <v>164.7</v>
      </c>
      <c r="P101">
        <v>148.5</v>
      </c>
      <c r="Q101">
        <v>162.19999999999999</v>
      </c>
      <c r="R101">
        <v>161.6</v>
      </c>
      <c r="S101">
        <v>156.80000000000001</v>
      </c>
      <c r="T101">
        <v>152.69999999999999</v>
      </c>
      <c r="U101">
        <v>158.4</v>
      </c>
    </row>
    <row r="102" spans="1:27" x14ac:dyDescent="0.3">
      <c r="K102" t="s">
        <v>33</v>
      </c>
      <c r="L102">
        <v>2022</v>
      </c>
      <c r="M102" t="s">
        <v>46</v>
      </c>
      <c r="N102">
        <f t="shared" si="5"/>
        <v>1192.3</v>
      </c>
      <c r="O102">
        <v>177.7</v>
      </c>
      <c r="P102">
        <v>164.5</v>
      </c>
      <c r="Q102">
        <v>175.7</v>
      </c>
      <c r="R102">
        <v>180.6</v>
      </c>
      <c r="S102">
        <v>167.3</v>
      </c>
      <c r="T102">
        <v>159.4</v>
      </c>
      <c r="U102">
        <v>167.1</v>
      </c>
    </row>
    <row r="106" spans="1:27" s="15" customFormat="1" x14ac:dyDescent="0.3"/>
    <row r="108" spans="1:27" ht="25.8" x14ac:dyDescent="0.5">
      <c r="A108" s="54" t="s">
        <v>66</v>
      </c>
    </row>
    <row r="110" spans="1:27" x14ac:dyDescent="0.3">
      <c r="C110" s="3" t="s">
        <v>88</v>
      </c>
      <c r="D110" s="3" t="s">
        <v>88</v>
      </c>
      <c r="E110" s="41" t="s">
        <v>90</v>
      </c>
      <c r="F110" s="40" t="s">
        <v>89</v>
      </c>
      <c r="G110" s="40" t="s">
        <v>89</v>
      </c>
    </row>
    <row r="111" spans="1:27" x14ac:dyDescent="0.3">
      <c r="A111" s="1" t="s">
        <v>0</v>
      </c>
      <c r="B111" s="1" t="s">
        <v>80</v>
      </c>
      <c r="C111" s="22">
        <v>2018</v>
      </c>
      <c r="D111" s="22">
        <v>2019</v>
      </c>
      <c r="E111" s="22">
        <v>2020</v>
      </c>
      <c r="F111" s="22">
        <v>2021</v>
      </c>
      <c r="G111" s="22">
        <v>2022</v>
      </c>
      <c r="K111" s="1" t="s">
        <v>0</v>
      </c>
      <c r="L111" s="1" t="s">
        <v>1</v>
      </c>
      <c r="M111" s="1" t="s">
        <v>2</v>
      </c>
      <c r="N111" s="1" t="s">
        <v>92</v>
      </c>
      <c r="O111" s="1" t="s">
        <v>3</v>
      </c>
      <c r="P111" s="1" t="s">
        <v>4</v>
      </c>
      <c r="Q111" s="1" t="s">
        <v>5</v>
      </c>
      <c r="R111" s="1" t="s">
        <v>6</v>
      </c>
      <c r="S111" s="1" t="s">
        <v>7</v>
      </c>
      <c r="T111" s="1" t="s">
        <v>8</v>
      </c>
      <c r="U111" s="1" t="s">
        <v>9</v>
      </c>
      <c r="V111" s="1" t="s">
        <v>10</v>
      </c>
      <c r="W111" s="1" t="s">
        <v>11</v>
      </c>
      <c r="X111" s="1" t="s">
        <v>12</v>
      </c>
      <c r="Y111" s="1" t="s">
        <v>13</v>
      </c>
      <c r="Z111" s="1" t="s">
        <v>14</v>
      </c>
      <c r="AA111" s="1" t="s">
        <v>15</v>
      </c>
    </row>
    <row r="112" spans="1:27" x14ac:dyDescent="0.3">
      <c r="A112" t="s">
        <v>66</v>
      </c>
      <c r="B112" t="s">
        <v>60</v>
      </c>
      <c r="C112" s="2">
        <f>(N113-N112)/N112</f>
        <v>-9.607281307938852E-3</v>
      </c>
      <c r="D112" s="2">
        <f>(N115-N114)/N114</f>
        <v>0.10990076422949714</v>
      </c>
      <c r="E112" s="2">
        <f>(N117-N116)/N116</f>
        <v>8.6940836940836971E-2</v>
      </c>
      <c r="F112" s="2">
        <f>(N119-N118)/N118</f>
        <v>5.0276908259089856E-2</v>
      </c>
      <c r="G112" s="2">
        <f>(N121-N120)/N120</f>
        <v>5.5078088901210742E-2</v>
      </c>
      <c r="K112" t="s">
        <v>66</v>
      </c>
      <c r="L112">
        <v>2018</v>
      </c>
      <c r="M112" t="s">
        <v>31</v>
      </c>
      <c r="N112">
        <f>SUM(O112:AA112)</f>
        <v>1779.9</v>
      </c>
      <c r="O112">
        <v>136</v>
      </c>
      <c r="P112">
        <v>144.19999999999999</v>
      </c>
      <c r="Q112">
        <v>143.69999999999999</v>
      </c>
      <c r="R112">
        <v>141.1</v>
      </c>
      <c r="S112">
        <v>120.7</v>
      </c>
      <c r="T112">
        <v>141.30000000000001</v>
      </c>
      <c r="U112">
        <v>151.6</v>
      </c>
      <c r="V112">
        <v>127.3</v>
      </c>
      <c r="W112">
        <v>118.8</v>
      </c>
      <c r="X112">
        <v>137.5</v>
      </c>
      <c r="Y112">
        <v>129</v>
      </c>
      <c r="Z112">
        <v>149.5</v>
      </c>
      <c r="AA112">
        <v>139.19999999999999</v>
      </c>
    </row>
    <row r="113" spans="1:27" x14ac:dyDescent="0.3">
      <c r="A113" t="s">
        <v>66</v>
      </c>
      <c r="B113" t="s">
        <v>23</v>
      </c>
      <c r="C113" s="2">
        <f>(N128-N127)/N127</f>
        <v>8.7021755438859663E-2</v>
      </c>
      <c r="D113" s="2">
        <f>(N130-N129)/N129</f>
        <v>3.6526533425224064E-2</v>
      </c>
      <c r="E113" s="2">
        <f>(N132-N131)/N131</f>
        <v>4.6957671957672115E-2</v>
      </c>
      <c r="F113" s="2">
        <f>(N134-N133)/N133</f>
        <v>7.0935342121782693E-2</v>
      </c>
      <c r="G113" s="2">
        <f>(N136-N135)/N135</f>
        <v>5.6592765460910084E-2</v>
      </c>
      <c r="K113" t="s">
        <v>66</v>
      </c>
      <c r="L113">
        <v>2018</v>
      </c>
      <c r="M113" t="s">
        <v>46</v>
      </c>
      <c r="N113">
        <f t="shared" ref="N113" si="6">SUM(O113:AA113)</f>
        <v>1762.7999999999997</v>
      </c>
      <c r="O113">
        <v>137.5</v>
      </c>
      <c r="P113">
        <v>150.5</v>
      </c>
      <c r="Q113">
        <v>138.80000000000001</v>
      </c>
      <c r="R113">
        <v>142.1</v>
      </c>
      <c r="S113">
        <v>122</v>
      </c>
      <c r="T113">
        <v>139.4</v>
      </c>
      <c r="U113">
        <v>135.19999999999999</v>
      </c>
      <c r="V113">
        <v>119.8</v>
      </c>
      <c r="W113">
        <v>110.3</v>
      </c>
      <c r="X113">
        <v>140.6</v>
      </c>
      <c r="Y113">
        <v>133.80000000000001</v>
      </c>
      <c r="Z113">
        <v>154.6</v>
      </c>
      <c r="AA113">
        <v>138.19999999999999</v>
      </c>
    </row>
    <row r="114" spans="1:27" x14ac:dyDescent="0.3">
      <c r="A114" t="s">
        <v>66</v>
      </c>
      <c r="B114" t="s">
        <v>94</v>
      </c>
      <c r="C114" s="2">
        <f>(N142-N141)/N141</f>
        <v>4.1197706519431075E-2</v>
      </c>
      <c r="D114" s="2">
        <f>(N144-N143)/N143</f>
        <v>2.6739063620530593E-2</v>
      </c>
      <c r="E114" s="2">
        <f>(N146-N145)/N145</f>
        <v>3.1619767326240382E-2</v>
      </c>
      <c r="F114" s="2">
        <f>(N148-N147)/N147</f>
        <v>8.5725220053578174E-2</v>
      </c>
      <c r="G114" s="2">
        <f>(N150-N149)/N149</f>
        <v>7.7313720339725236E-2</v>
      </c>
      <c r="K114" t="s">
        <v>66</v>
      </c>
      <c r="L114">
        <v>2019</v>
      </c>
      <c r="M114" t="s">
        <v>31</v>
      </c>
      <c r="N114">
        <f t="shared" ref="N114:N121" si="7">SUM(O114:AA114)</f>
        <v>1753.3999999999999</v>
      </c>
      <c r="O114">
        <v>137.1</v>
      </c>
      <c r="P114">
        <v>151.4</v>
      </c>
      <c r="Q114">
        <v>140.19999999999999</v>
      </c>
      <c r="R114">
        <v>142.1</v>
      </c>
      <c r="S114">
        <v>121.8</v>
      </c>
      <c r="T114">
        <v>135.4</v>
      </c>
      <c r="U114">
        <v>131.30000000000001</v>
      </c>
      <c r="V114">
        <v>120.3</v>
      </c>
      <c r="W114">
        <v>109.1</v>
      </c>
      <c r="X114">
        <v>139.4</v>
      </c>
      <c r="Y114">
        <v>133.30000000000001</v>
      </c>
      <c r="Z114">
        <v>154.6</v>
      </c>
      <c r="AA114">
        <v>137.4</v>
      </c>
    </row>
    <row r="115" spans="1:27" x14ac:dyDescent="0.3">
      <c r="K115" t="s">
        <v>66</v>
      </c>
      <c r="L115">
        <v>2019</v>
      </c>
      <c r="M115" t="s">
        <v>46</v>
      </c>
      <c r="N115">
        <f t="shared" si="7"/>
        <v>1946.1000000000001</v>
      </c>
      <c r="O115">
        <v>143.5</v>
      </c>
      <c r="P115">
        <v>165</v>
      </c>
      <c r="Q115">
        <v>151.1</v>
      </c>
      <c r="R115">
        <v>148.30000000000001</v>
      </c>
      <c r="S115">
        <v>125.7</v>
      </c>
      <c r="T115">
        <v>145.69999999999999</v>
      </c>
      <c r="U115">
        <v>217</v>
      </c>
      <c r="V115">
        <v>138.30000000000001</v>
      </c>
      <c r="W115">
        <v>114</v>
      </c>
      <c r="X115">
        <v>148.69999999999999</v>
      </c>
      <c r="Y115">
        <v>135.80000000000001</v>
      </c>
      <c r="Z115">
        <v>158</v>
      </c>
      <c r="AA115">
        <v>155</v>
      </c>
    </row>
    <row r="116" spans="1:27" x14ac:dyDescent="0.3">
      <c r="K116" t="s">
        <v>66</v>
      </c>
      <c r="L116">
        <v>2020</v>
      </c>
      <c r="M116" t="s">
        <v>31</v>
      </c>
      <c r="N116">
        <f t="shared" si="7"/>
        <v>1940.3999999999999</v>
      </c>
      <c r="O116">
        <v>144.30000000000001</v>
      </c>
      <c r="P116">
        <v>167.4</v>
      </c>
      <c r="Q116">
        <v>154.9</v>
      </c>
      <c r="R116">
        <v>150.1</v>
      </c>
      <c r="S116">
        <v>129.9</v>
      </c>
      <c r="T116">
        <v>143.19999999999999</v>
      </c>
      <c r="U116">
        <v>197</v>
      </c>
      <c r="V116">
        <v>140.4</v>
      </c>
      <c r="W116">
        <v>114.1</v>
      </c>
      <c r="X116">
        <v>150.9</v>
      </c>
      <c r="Y116">
        <v>136.1</v>
      </c>
      <c r="Z116">
        <v>158.6</v>
      </c>
      <c r="AA116">
        <v>153.5</v>
      </c>
    </row>
    <row r="117" spans="1:27" x14ac:dyDescent="0.3">
      <c r="K117" t="s">
        <v>66</v>
      </c>
      <c r="L117">
        <v>2020</v>
      </c>
      <c r="M117" t="s">
        <v>46</v>
      </c>
      <c r="N117">
        <f t="shared" si="7"/>
        <v>2109.1</v>
      </c>
      <c r="O117">
        <v>146</v>
      </c>
      <c r="P117">
        <v>191</v>
      </c>
      <c r="Q117">
        <v>175.3</v>
      </c>
      <c r="R117">
        <v>154.1</v>
      </c>
      <c r="S117">
        <v>146.6</v>
      </c>
      <c r="T117">
        <v>147.69999999999999</v>
      </c>
      <c r="U117">
        <v>230.5</v>
      </c>
      <c r="V117">
        <v>160.19999999999999</v>
      </c>
      <c r="W117">
        <v>115.3</v>
      </c>
      <c r="X117">
        <v>163</v>
      </c>
      <c r="Y117">
        <v>149.19999999999999</v>
      </c>
      <c r="Z117">
        <v>164.8</v>
      </c>
      <c r="AA117">
        <v>165.4</v>
      </c>
    </row>
    <row r="118" spans="1:27" x14ac:dyDescent="0.3">
      <c r="K118" t="s">
        <v>66</v>
      </c>
      <c r="L118">
        <v>2021</v>
      </c>
      <c r="M118" t="s">
        <v>31</v>
      </c>
      <c r="N118">
        <f t="shared" si="7"/>
        <v>2076.5</v>
      </c>
      <c r="O118">
        <v>144.9</v>
      </c>
      <c r="P118">
        <v>190.1</v>
      </c>
      <c r="Q118">
        <v>175.3</v>
      </c>
      <c r="R118">
        <v>154.1</v>
      </c>
      <c r="S118">
        <v>150.9</v>
      </c>
      <c r="T118">
        <v>149.6</v>
      </c>
      <c r="U118">
        <v>194.2</v>
      </c>
      <c r="V118">
        <v>160.4</v>
      </c>
      <c r="W118">
        <v>114.6</v>
      </c>
      <c r="X118">
        <v>164</v>
      </c>
      <c r="Y118">
        <v>151.80000000000001</v>
      </c>
      <c r="Z118">
        <v>165.6</v>
      </c>
      <c r="AA118">
        <v>161</v>
      </c>
    </row>
    <row r="119" spans="1:27" x14ac:dyDescent="0.3">
      <c r="K119" t="s">
        <v>66</v>
      </c>
      <c r="L119">
        <v>2021</v>
      </c>
      <c r="M119" t="s">
        <v>46</v>
      </c>
      <c r="N119">
        <f t="shared" si="7"/>
        <v>2180.9</v>
      </c>
      <c r="O119">
        <v>148.69999999999999</v>
      </c>
      <c r="P119">
        <v>198.8</v>
      </c>
      <c r="Q119">
        <v>177.9</v>
      </c>
      <c r="R119">
        <v>159.9</v>
      </c>
      <c r="S119">
        <v>187.6</v>
      </c>
      <c r="T119">
        <v>154.9</v>
      </c>
      <c r="U119">
        <v>188.3</v>
      </c>
      <c r="V119">
        <v>164.4</v>
      </c>
      <c r="W119">
        <v>121</v>
      </c>
      <c r="X119">
        <v>170.5</v>
      </c>
      <c r="Y119">
        <v>164.2</v>
      </c>
      <c r="Z119">
        <v>176.5</v>
      </c>
      <c r="AA119">
        <v>168.2</v>
      </c>
    </row>
    <row r="120" spans="1:27" x14ac:dyDescent="0.3">
      <c r="K120" t="s">
        <v>66</v>
      </c>
      <c r="L120">
        <v>2022</v>
      </c>
      <c r="M120" t="s">
        <v>31</v>
      </c>
      <c r="N120">
        <f t="shared" si="7"/>
        <v>2164.1999999999998</v>
      </c>
      <c r="O120">
        <v>149.5</v>
      </c>
      <c r="P120">
        <v>198.7</v>
      </c>
      <c r="Q120">
        <v>178.8</v>
      </c>
      <c r="R120">
        <v>160.5</v>
      </c>
      <c r="S120">
        <v>184.7</v>
      </c>
      <c r="T120">
        <v>153.69999999999999</v>
      </c>
      <c r="U120">
        <v>174.3</v>
      </c>
      <c r="V120">
        <v>163.9</v>
      </c>
      <c r="W120">
        <v>120</v>
      </c>
      <c r="X120">
        <v>172.1</v>
      </c>
      <c r="Y120">
        <v>164.3</v>
      </c>
      <c r="Z120">
        <v>177.3</v>
      </c>
      <c r="AA120">
        <v>166.4</v>
      </c>
    </row>
    <row r="121" spans="1:27" x14ac:dyDescent="0.3">
      <c r="K121" t="s">
        <v>66</v>
      </c>
      <c r="L121">
        <v>2022</v>
      </c>
      <c r="M121" t="s">
        <v>46</v>
      </c>
      <c r="N121">
        <f t="shared" si="7"/>
        <v>2283.4</v>
      </c>
      <c r="O121">
        <v>169.2</v>
      </c>
      <c r="P121">
        <v>209</v>
      </c>
      <c r="Q121">
        <v>190.2</v>
      </c>
      <c r="R121">
        <v>173.6</v>
      </c>
      <c r="S121">
        <v>188.5</v>
      </c>
      <c r="T121">
        <v>158</v>
      </c>
      <c r="U121">
        <v>159.9</v>
      </c>
      <c r="V121">
        <v>170.8</v>
      </c>
      <c r="W121">
        <v>121.8</v>
      </c>
      <c r="X121">
        <v>205.2</v>
      </c>
      <c r="Y121">
        <v>171</v>
      </c>
      <c r="Z121">
        <v>190.3</v>
      </c>
      <c r="AA121">
        <v>175.9</v>
      </c>
    </row>
    <row r="126" spans="1:27" x14ac:dyDescent="0.3">
      <c r="K126" s="1" t="s">
        <v>0</v>
      </c>
      <c r="L126" s="1" t="s">
        <v>1</v>
      </c>
      <c r="M126" s="1" t="s">
        <v>2</v>
      </c>
      <c r="N126" s="1" t="s">
        <v>95</v>
      </c>
    </row>
    <row r="127" spans="1:27" x14ac:dyDescent="0.3">
      <c r="K127" t="s">
        <v>66</v>
      </c>
      <c r="L127">
        <v>2018</v>
      </c>
      <c r="M127" t="s">
        <v>31</v>
      </c>
      <c r="N127">
        <v>133.30000000000001</v>
      </c>
    </row>
    <row r="128" spans="1:27" x14ac:dyDescent="0.3">
      <c r="K128" t="s">
        <v>66</v>
      </c>
      <c r="L128">
        <v>2018</v>
      </c>
      <c r="M128" t="s">
        <v>46</v>
      </c>
      <c r="N128">
        <v>144.9</v>
      </c>
    </row>
    <row r="129" spans="1:21" x14ac:dyDescent="0.3">
      <c r="K129" t="s">
        <v>66</v>
      </c>
      <c r="L129">
        <v>2019</v>
      </c>
      <c r="M129" t="s">
        <v>31</v>
      </c>
      <c r="N129">
        <v>145.1</v>
      </c>
    </row>
    <row r="130" spans="1:21" x14ac:dyDescent="0.3">
      <c r="K130" t="s">
        <v>66</v>
      </c>
      <c r="L130">
        <v>2019</v>
      </c>
      <c r="M130" t="s">
        <v>46</v>
      </c>
      <c r="N130">
        <v>150.4</v>
      </c>
    </row>
    <row r="131" spans="1:21" x14ac:dyDescent="0.3">
      <c r="K131" t="s">
        <v>66</v>
      </c>
      <c r="L131">
        <v>2020</v>
      </c>
      <c r="M131" t="s">
        <v>31</v>
      </c>
      <c r="N131">
        <v>151.19999999999999</v>
      </c>
    </row>
    <row r="132" spans="1:21" x14ac:dyDescent="0.3">
      <c r="K132" t="s">
        <v>66</v>
      </c>
      <c r="L132">
        <v>2020</v>
      </c>
      <c r="M132" t="s">
        <v>46</v>
      </c>
      <c r="N132">
        <v>158.30000000000001</v>
      </c>
    </row>
    <row r="133" spans="1:21" x14ac:dyDescent="0.3">
      <c r="K133" t="s">
        <v>66</v>
      </c>
      <c r="L133">
        <v>2021</v>
      </c>
      <c r="M133" t="s">
        <v>31</v>
      </c>
      <c r="N133">
        <v>159.30000000000001</v>
      </c>
    </row>
    <row r="134" spans="1:21" x14ac:dyDescent="0.3">
      <c r="K134" t="s">
        <v>66</v>
      </c>
      <c r="L134">
        <v>2021</v>
      </c>
      <c r="M134" t="s">
        <v>46</v>
      </c>
      <c r="N134">
        <v>170.6</v>
      </c>
    </row>
    <row r="135" spans="1:21" ht="25.8" x14ac:dyDescent="0.5">
      <c r="A135" s="23" t="s">
        <v>115</v>
      </c>
      <c r="K135" t="s">
        <v>66</v>
      </c>
      <c r="L135">
        <v>2022</v>
      </c>
      <c r="M135" t="s">
        <v>31</v>
      </c>
      <c r="N135">
        <v>171.4</v>
      </c>
    </row>
    <row r="136" spans="1:21" ht="25.8" x14ac:dyDescent="0.5">
      <c r="A136" s="23" t="s">
        <v>114</v>
      </c>
      <c r="K136" t="s">
        <v>66</v>
      </c>
      <c r="L136">
        <v>2022</v>
      </c>
      <c r="M136" t="s">
        <v>46</v>
      </c>
      <c r="N136">
        <v>181.1</v>
      </c>
    </row>
    <row r="140" spans="1:21" x14ac:dyDescent="0.3">
      <c r="K140" s="1" t="s">
        <v>0</v>
      </c>
      <c r="L140" s="1" t="s">
        <v>1</v>
      </c>
      <c r="M140" s="1" t="s">
        <v>2</v>
      </c>
      <c r="N140" s="1" t="s">
        <v>92</v>
      </c>
      <c r="O140" s="1" t="s">
        <v>17</v>
      </c>
      <c r="P140" s="1" t="s">
        <v>18</v>
      </c>
      <c r="Q140" s="1" t="s">
        <v>19</v>
      </c>
      <c r="R140" s="1" t="s">
        <v>21</v>
      </c>
      <c r="S140" s="1" t="s">
        <v>22</v>
      </c>
      <c r="T140" s="1" t="s">
        <v>24</v>
      </c>
      <c r="U140" s="1" t="s">
        <v>25</v>
      </c>
    </row>
    <row r="141" spans="1:21" x14ac:dyDescent="0.3">
      <c r="K141" t="s">
        <v>66</v>
      </c>
      <c r="L141">
        <v>2018</v>
      </c>
      <c r="M141" t="s">
        <v>31</v>
      </c>
      <c r="N141">
        <f>SUM(O141:U141)</f>
        <v>941.8</v>
      </c>
      <c r="O141">
        <v>143.5</v>
      </c>
      <c r="P141">
        <v>135.5</v>
      </c>
      <c r="Q141">
        <v>142.30000000000001</v>
      </c>
      <c r="R141">
        <v>136.6</v>
      </c>
      <c r="S141">
        <v>134.9</v>
      </c>
      <c r="T141">
        <v>119.3</v>
      </c>
      <c r="U141">
        <v>129.69999999999999</v>
      </c>
    </row>
    <row r="142" spans="1:21" x14ac:dyDescent="0.3">
      <c r="K142" t="s">
        <v>66</v>
      </c>
      <c r="L142">
        <v>2018</v>
      </c>
      <c r="M142" t="s">
        <v>46</v>
      </c>
      <c r="N142">
        <f t="shared" ref="N142:N150" si="8">SUM(O142:U142)</f>
        <v>980.60000000000014</v>
      </c>
      <c r="O142">
        <v>148.1</v>
      </c>
      <c r="P142">
        <v>139.4</v>
      </c>
      <c r="Q142">
        <v>146.80000000000001</v>
      </c>
      <c r="R142">
        <v>142.69999999999999</v>
      </c>
      <c r="S142">
        <v>143.19999999999999</v>
      </c>
      <c r="T142">
        <v>123.6</v>
      </c>
      <c r="U142">
        <v>136.80000000000001</v>
      </c>
    </row>
    <row r="143" spans="1:21" x14ac:dyDescent="0.3">
      <c r="K143" t="s">
        <v>66</v>
      </c>
      <c r="L143">
        <v>2019</v>
      </c>
      <c r="M143" t="s">
        <v>31</v>
      </c>
      <c r="N143">
        <f t="shared" si="8"/>
        <v>976.09999999999991</v>
      </c>
      <c r="O143">
        <v>147.6</v>
      </c>
      <c r="P143">
        <v>139</v>
      </c>
      <c r="Q143">
        <v>146.4</v>
      </c>
      <c r="R143">
        <v>139.5</v>
      </c>
      <c r="S143">
        <v>143.6</v>
      </c>
      <c r="T143">
        <v>123.3</v>
      </c>
      <c r="U143">
        <v>136.69999999999999</v>
      </c>
    </row>
    <row r="144" spans="1:21" x14ac:dyDescent="0.3">
      <c r="K144" t="s">
        <v>66</v>
      </c>
      <c r="L144">
        <v>2019</v>
      </c>
      <c r="M144" t="s">
        <v>46</v>
      </c>
      <c r="N144">
        <f t="shared" si="8"/>
        <v>1002.1999999999998</v>
      </c>
      <c r="O144">
        <v>150.30000000000001</v>
      </c>
      <c r="P144">
        <v>141.30000000000001</v>
      </c>
      <c r="Q144">
        <v>149</v>
      </c>
      <c r="R144">
        <v>143.69999999999999</v>
      </c>
      <c r="S144">
        <v>145.80000000000001</v>
      </c>
      <c r="T144">
        <v>129.80000000000001</v>
      </c>
      <c r="U144">
        <v>142.30000000000001</v>
      </c>
    </row>
    <row r="145" spans="11:21" x14ac:dyDescent="0.3">
      <c r="K145" t="s">
        <v>66</v>
      </c>
      <c r="L145">
        <v>2020</v>
      </c>
      <c r="M145" t="s">
        <v>31</v>
      </c>
      <c r="N145">
        <f t="shared" si="8"/>
        <v>1005.7</v>
      </c>
      <c r="O145">
        <v>150.5</v>
      </c>
      <c r="P145">
        <v>141.5</v>
      </c>
      <c r="Q145">
        <v>149.19999999999999</v>
      </c>
      <c r="R145">
        <v>144.6</v>
      </c>
      <c r="S145">
        <v>146.19999999999999</v>
      </c>
      <c r="T145">
        <v>130.9</v>
      </c>
      <c r="U145">
        <v>142.80000000000001</v>
      </c>
    </row>
    <row r="146" spans="11:21" x14ac:dyDescent="0.3">
      <c r="K146" t="s">
        <v>66</v>
      </c>
      <c r="L146">
        <v>2020</v>
      </c>
      <c r="M146" t="s">
        <v>46</v>
      </c>
      <c r="N146">
        <f t="shared" si="8"/>
        <v>1037.5</v>
      </c>
      <c r="O146">
        <v>155</v>
      </c>
      <c r="P146">
        <v>145.4</v>
      </c>
      <c r="Q146">
        <v>153.6</v>
      </c>
      <c r="R146">
        <v>144.6</v>
      </c>
      <c r="S146">
        <v>149.69999999999999</v>
      </c>
      <c r="T146">
        <v>140.69999999999999</v>
      </c>
      <c r="U146">
        <v>148.5</v>
      </c>
    </row>
    <row r="147" spans="11:21" x14ac:dyDescent="0.3">
      <c r="K147" t="s">
        <v>66</v>
      </c>
      <c r="L147">
        <v>2021</v>
      </c>
      <c r="M147" t="s">
        <v>31</v>
      </c>
      <c r="N147">
        <f t="shared" si="8"/>
        <v>1045.2</v>
      </c>
      <c r="O147">
        <v>155.5</v>
      </c>
      <c r="P147">
        <v>146.1</v>
      </c>
      <c r="Q147">
        <v>154.19999999999999</v>
      </c>
      <c r="R147">
        <v>147.9</v>
      </c>
      <c r="S147">
        <v>150</v>
      </c>
      <c r="T147">
        <v>141.9</v>
      </c>
      <c r="U147">
        <v>149.6</v>
      </c>
    </row>
    <row r="148" spans="11:21" x14ac:dyDescent="0.3">
      <c r="K148" t="s">
        <v>66</v>
      </c>
      <c r="L148">
        <v>2021</v>
      </c>
      <c r="M148" t="s">
        <v>46</v>
      </c>
      <c r="N148">
        <f t="shared" si="8"/>
        <v>1134.8</v>
      </c>
      <c r="O148">
        <v>168.5</v>
      </c>
      <c r="P148">
        <v>158.69999999999999</v>
      </c>
      <c r="Q148">
        <v>167</v>
      </c>
      <c r="R148">
        <v>164.1</v>
      </c>
      <c r="S148">
        <v>160.19999999999999</v>
      </c>
      <c r="T148">
        <v>155.69999999999999</v>
      </c>
      <c r="U148">
        <v>160.6</v>
      </c>
    </row>
    <row r="149" spans="11:21" x14ac:dyDescent="0.3">
      <c r="K149" t="s">
        <v>66</v>
      </c>
      <c r="L149">
        <v>2022</v>
      </c>
      <c r="M149" t="s">
        <v>31</v>
      </c>
      <c r="N149">
        <f t="shared" si="8"/>
        <v>1142.0999999999999</v>
      </c>
      <c r="O149">
        <v>169.9</v>
      </c>
      <c r="P149">
        <v>160.69999999999999</v>
      </c>
      <c r="Q149">
        <v>168.5</v>
      </c>
      <c r="R149">
        <v>164.2</v>
      </c>
      <c r="S149">
        <v>161.1</v>
      </c>
      <c r="T149">
        <v>156.5</v>
      </c>
      <c r="U149">
        <v>161.19999999999999</v>
      </c>
    </row>
    <row r="150" spans="11:21" x14ac:dyDescent="0.3">
      <c r="K150" t="s">
        <v>66</v>
      </c>
      <c r="L150">
        <v>2022</v>
      </c>
      <c r="M150" t="s">
        <v>46</v>
      </c>
      <c r="N150">
        <f t="shared" si="8"/>
        <v>1230.4000000000001</v>
      </c>
      <c r="O150">
        <v>184</v>
      </c>
      <c r="P150">
        <v>177</v>
      </c>
      <c r="Q150">
        <v>183</v>
      </c>
      <c r="R150">
        <v>182</v>
      </c>
      <c r="S150">
        <v>172.1</v>
      </c>
      <c r="T150">
        <v>163.4</v>
      </c>
      <c r="U150">
        <v>168.9</v>
      </c>
    </row>
  </sheetData>
  <phoneticPr fontId="2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CCCE-5BA3-4EDB-AC9A-C0B35D432486}">
  <dimension ref="A1:W265"/>
  <sheetViews>
    <sheetView topLeftCell="B97" zoomScale="70" zoomScaleNormal="70" workbookViewId="0">
      <selection activeCell="B122" sqref="B122:B123"/>
    </sheetView>
  </sheetViews>
  <sheetFormatPr defaultRowHeight="14.4" x14ac:dyDescent="0.3"/>
  <cols>
    <col min="1" max="1" width="6.77734375" customWidth="1"/>
    <col min="2" max="2" width="38.33203125" customWidth="1"/>
    <col min="3" max="3" width="31.33203125" bestFit="1" customWidth="1"/>
    <col min="4" max="4" width="18.77734375" bestFit="1" customWidth="1"/>
    <col min="5" max="5" width="21.5546875" customWidth="1"/>
    <col min="6" max="6" width="30.44140625" bestFit="1" customWidth="1"/>
    <col min="7" max="7" width="13.109375" customWidth="1"/>
    <col min="8" max="8" width="19.21875" customWidth="1"/>
    <col min="9" max="9" width="13.88671875" customWidth="1"/>
    <col min="10" max="10" width="19.6640625" customWidth="1"/>
    <col min="11" max="11" width="23.6640625" customWidth="1"/>
    <col min="12" max="12" width="20.77734375" customWidth="1"/>
    <col min="13" max="13" width="25" customWidth="1"/>
    <col min="14" max="14" width="32.6640625" customWidth="1"/>
    <col min="15" max="15" width="24.88671875" customWidth="1"/>
    <col min="16" max="16" width="34.33203125" customWidth="1"/>
    <col min="17" max="17" width="20.77734375" customWidth="1"/>
  </cols>
  <sheetData>
    <row r="1" spans="1:17" x14ac:dyDescent="0.3">
      <c r="A1" t="s">
        <v>30</v>
      </c>
    </row>
    <row r="2" spans="1:17" x14ac:dyDescent="0.3">
      <c r="A2" s="1" t="s">
        <v>1</v>
      </c>
      <c r="B2" s="1" t="s">
        <v>2</v>
      </c>
      <c r="C2" s="1" t="s">
        <v>78</v>
      </c>
      <c r="D2" s="1" t="s">
        <v>79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17" x14ac:dyDescent="0.3">
      <c r="A3">
        <v>2022</v>
      </c>
      <c r="B3" t="s">
        <v>38</v>
      </c>
      <c r="C3">
        <f>SUM(E3:Q3)</f>
        <v>2226.8000000000002</v>
      </c>
      <c r="E3">
        <v>152.9</v>
      </c>
      <c r="F3">
        <v>214.7</v>
      </c>
      <c r="G3">
        <v>161.4</v>
      </c>
      <c r="H3">
        <v>164.6</v>
      </c>
      <c r="I3">
        <v>209.9</v>
      </c>
      <c r="J3">
        <v>168</v>
      </c>
      <c r="K3">
        <v>160.4</v>
      </c>
      <c r="L3">
        <v>165</v>
      </c>
      <c r="M3">
        <v>118.9</v>
      </c>
      <c r="N3">
        <v>186.6</v>
      </c>
      <c r="O3">
        <v>173.2</v>
      </c>
      <c r="P3">
        <v>180.4</v>
      </c>
      <c r="Q3">
        <v>170.8</v>
      </c>
    </row>
    <row r="4" spans="1:17" x14ac:dyDescent="0.3">
      <c r="A4">
        <v>2022</v>
      </c>
      <c r="B4" t="s">
        <v>39</v>
      </c>
      <c r="C4">
        <f t="shared" ref="C4:C15" si="0">SUM(E4:Q4)</f>
        <v>2248.3000000000002</v>
      </c>
      <c r="D4" s="2">
        <f>(C4-C3)/C3</f>
        <v>9.6551104724268005E-3</v>
      </c>
      <c r="E4">
        <v>153.80000000000001</v>
      </c>
      <c r="F4">
        <v>217.2</v>
      </c>
      <c r="G4">
        <v>169.6</v>
      </c>
      <c r="H4">
        <v>165.4</v>
      </c>
      <c r="I4">
        <v>208.1</v>
      </c>
      <c r="J4">
        <v>165.8</v>
      </c>
      <c r="K4">
        <v>167.3</v>
      </c>
      <c r="L4">
        <v>164.6</v>
      </c>
      <c r="M4">
        <v>119.1</v>
      </c>
      <c r="N4">
        <v>188.9</v>
      </c>
      <c r="O4">
        <v>174.2</v>
      </c>
      <c r="P4">
        <v>181.9</v>
      </c>
      <c r="Q4">
        <v>172.4</v>
      </c>
    </row>
    <row r="5" spans="1:17" x14ac:dyDescent="0.3">
      <c r="A5">
        <v>2022</v>
      </c>
      <c r="B5" t="s">
        <v>40</v>
      </c>
      <c r="C5">
        <f t="shared" si="0"/>
        <v>2252.5</v>
      </c>
      <c r="D5" s="2">
        <f>(C5-C4)/C4</f>
        <v>1.8680781034558635E-3</v>
      </c>
      <c r="E5">
        <v>155.19999999999999</v>
      </c>
      <c r="F5">
        <v>210.8</v>
      </c>
      <c r="G5">
        <v>174.3</v>
      </c>
      <c r="H5">
        <v>166.3</v>
      </c>
      <c r="I5">
        <v>202.2</v>
      </c>
      <c r="J5">
        <v>169.6</v>
      </c>
      <c r="K5">
        <v>168.6</v>
      </c>
      <c r="L5">
        <v>164.4</v>
      </c>
      <c r="M5">
        <v>119.2</v>
      </c>
      <c r="N5">
        <v>191.8</v>
      </c>
      <c r="O5">
        <v>174.5</v>
      </c>
      <c r="P5">
        <v>183.1</v>
      </c>
      <c r="Q5">
        <v>172.5</v>
      </c>
    </row>
    <row r="6" spans="1:17" x14ac:dyDescent="0.3">
      <c r="A6">
        <v>2022</v>
      </c>
      <c r="B6" t="s">
        <v>41</v>
      </c>
      <c r="C6">
        <f t="shared" si="0"/>
        <v>2255.7999999999997</v>
      </c>
      <c r="D6" s="2">
        <f t="shared" ref="D6:D15" si="1">(C6-C5)/C5</f>
        <v>1.4650388457268489E-3</v>
      </c>
      <c r="E6">
        <v>159.5</v>
      </c>
      <c r="F6">
        <v>204.1</v>
      </c>
      <c r="G6">
        <v>168.3</v>
      </c>
      <c r="H6">
        <v>167.9</v>
      </c>
      <c r="I6">
        <v>198.1</v>
      </c>
      <c r="J6">
        <v>169.2</v>
      </c>
      <c r="K6">
        <v>173.1</v>
      </c>
      <c r="L6">
        <v>167.1</v>
      </c>
      <c r="M6">
        <v>120.2</v>
      </c>
      <c r="N6">
        <v>195.6</v>
      </c>
      <c r="O6">
        <v>174.8</v>
      </c>
      <c r="P6">
        <v>184</v>
      </c>
      <c r="Q6">
        <v>173.9</v>
      </c>
    </row>
    <row r="7" spans="1:17" x14ac:dyDescent="0.3">
      <c r="A7">
        <v>2022</v>
      </c>
      <c r="B7" t="s">
        <v>42</v>
      </c>
      <c r="C7">
        <f t="shared" si="0"/>
        <v>2267.8000000000002</v>
      </c>
      <c r="D7" s="2">
        <f t="shared" si="1"/>
        <v>5.3196205337354627E-3</v>
      </c>
      <c r="E7">
        <v>162.9</v>
      </c>
      <c r="F7">
        <v>206.7</v>
      </c>
      <c r="G7">
        <v>169</v>
      </c>
      <c r="H7">
        <v>169.5</v>
      </c>
      <c r="I7">
        <v>194.1</v>
      </c>
      <c r="J7">
        <v>164.1</v>
      </c>
      <c r="K7">
        <v>176.9</v>
      </c>
      <c r="L7">
        <v>169</v>
      </c>
      <c r="M7">
        <v>120.8</v>
      </c>
      <c r="N7">
        <v>199.1</v>
      </c>
      <c r="O7">
        <v>175.4</v>
      </c>
      <c r="P7">
        <v>184.8</v>
      </c>
      <c r="Q7">
        <v>175.5</v>
      </c>
    </row>
    <row r="8" spans="1:17" x14ac:dyDescent="0.3">
      <c r="A8">
        <v>2022</v>
      </c>
      <c r="B8" t="s">
        <v>43</v>
      </c>
      <c r="C8">
        <f t="shared" si="0"/>
        <v>2284.5</v>
      </c>
      <c r="D8" s="2">
        <f t="shared" si="1"/>
        <v>7.3639650762853063E-3</v>
      </c>
      <c r="E8">
        <v>164.7</v>
      </c>
      <c r="F8">
        <v>208.8</v>
      </c>
      <c r="G8">
        <v>170.3</v>
      </c>
      <c r="H8">
        <v>170.9</v>
      </c>
      <c r="I8">
        <v>191.6</v>
      </c>
      <c r="J8">
        <v>162.19999999999999</v>
      </c>
      <c r="K8">
        <v>184.8</v>
      </c>
      <c r="L8">
        <v>169.7</v>
      </c>
      <c r="M8">
        <v>121.1</v>
      </c>
      <c r="N8">
        <v>201.6</v>
      </c>
      <c r="O8">
        <v>175.8</v>
      </c>
      <c r="P8">
        <v>185.6</v>
      </c>
      <c r="Q8">
        <v>177.4</v>
      </c>
    </row>
    <row r="9" spans="1:17" x14ac:dyDescent="0.3">
      <c r="A9">
        <v>2022</v>
      </c>
      <c r="B9" t="s">
        <v>45</v>
      </c>
      <c r="C9">
        <f t="shared" si="0"/>
        <v>2287.6999999999998</v>
      </c>
      <c r="D9" s="2">
        <f t="shared" si="1"/>
        <v>1.4007441453271255E-3</v>
      </c>
      <c r="E9">
        <v>166.9</v>
      </c>
      <c r="F9">
        <v>207.2</v>
      </c>
      <c r="G9">
        <v>180.2</v>
      </c>
      <c r="H9">
        <v>172.3</v>
      </c>
      <c r="I9">
        <v>194</v>
      </c>
      <c r="J9">
        <v>159.1</v>
      </c>
      <c r="K9">
        <v>171.6</v>
      </c>
      <c r="L9">
        <v>170.2</v>
      </c>
      <c r="M9">
        <v>121.5</v>
      </c>
      <c r="N9">
        <v>204.8</v>
      </c>
      <c r="O9">
        <v>176.4</v>
      </c>
      <c r="P9">
        <v>186.9</v>
      </c>
      <c r="Q9">
        <v>176.6</v>
      </c>
    </row>
    <row r="10" spans="1:17" x14ac:dyDescent="0.3">
      <c r="A10">
        <v>2022</v>
      </c>
      <c r="B10" t="s">
        <v>46</v>
      </c>
      <c r="C10">
        <f t="shared" si="0"/>
        <v>2277.1</v>
      </c>
      <c r="D10" s="2">
        <f t="shared" si="1"/>
        <v>-4.6334746688813698E-3</v>
      </c>
      <c r="E10">
        <v>168.8</v>
      </c>
      <c r="F10">
        <v>206.9</v>
      </c>
      <c r="G10">
        <v>189.1</v>
      </c>
      <c r="H10">
        <v>173.4</v>
      </c>
      <c r="I10">
        <v>193.9</v>
      </c>
      <c r="J10">
        <v>156.69999999999999</v>
      </c>
      <c r="K10">
        <v>150.19999999999999</v>
      </c>
      <c r="L10">
        <v>170.5</v>
      </c>
      <c r="M10">
        <v>121.2</v>
      </c>
      <c r="N10">
        <v>207.5</v>
      </c>
      <c r="O10">
        <v>176.8</v>
      </c>
      <c r="P10">
        <v>187.7</v>
      </c>
      <c r="Q10">
        <v>174.4</v>
      </c>
    </row>
    <row r="11" spans="1:17" x14ac:dyDescent="0.3">
      <c r="A11">
        <v>2023</v>
      </c>
      <c r="B11" t="s">
        <v>31</v>
      </c>
      <c r="C11">
        <f t="shared" si="0"/>
        <v>2283.2000000000003</v>
      </c>
      <c r="D11" s="2">
        <f t="shared" si="1"/>
        <v>2.678845900487622E-3</v>
      </c>
      <c r="E11">
        <v>174</v>
      </c>
      <c r="F11">
        <v>208.3</v>
      </c>
      <c r="G11">
        <v>192.9</v>
      </c>
      <c r="H11">
        <v>174.3</v>
      </c>
      <c r="I11">
        <v>192.6</v>
      </c>
      <c r="J11">
        <v>156.30000000000001</v>
      </c>
      <c r="K11">
        <v>142.9</v>
      </c>
      <c r="L11">
        <v>170.7</v>
      </c>
      <c r="M11">
        <v>120.3</v>
      </c>
      <c r="N11">
        <v>210.5</v>
      </c>
      <c r="O11">
        <v>176.9</v>
      </c>
      <c r="P11">
        <v>188.5</v>
      </c>
      <c r="Q11">
        <v>175</v>
      </c>
    </row>
    <row r="12" spans="1:17" x14ac:dyDescent="0.3">
      <c r="A12">
        <v>2023</v>
      </c>
      <c r="B12" t="s">
        <v>35</v>
      </c>
      <c r="C12">
        <f t="shared" si="0"/>
        <v>2265.6999999999998</v>
      </c>
      <c r="D12" s="2">
        <f t="shared" si="1"/>
        <v>-7.6646811492643886E-3</v>
      </c>
      <c r="E12">
        <v>174.2</v>
      </c>
      <c r="F12">
        <v>205.2</v>
      </c>
      <c r="G12">
        <v>173.9</v>
      </c>
      <c r="H12">
        <v>177</v>
      </c>
      <c r="I12">
        <v>183.4</v>
      </c>
      <c r="J12">
        <v>167.2</v>
      </c>
      <c r="K12">
        <v>140.9</v>
      </c>
      <c r="L12">
        <v>170.4</v>
      </c>
      <c r="M12">
        <v>119.1</v>
      </c>
      <c r="N12">
        <v>212.1</v>
      </c>
      <c r="O12">
        <v>177.6</v>
      </c>
      <c r="P12">
        <v>189.9</v>
      </c>
      <c r="Q12">
        <v>174.8</v>
      </c>
    </row>
    <row r="13" spans="1:17" x14ac:dyDescent="0.3">
      <c r="A13">
        <v>2023</v>
      </c>
      <c r="B13" t="s">
        <v>36</v>
      </c>
      <c r="C13">
        <f t="shared" si="0"/>
        <v>2265.8000000000002</v>
      </c>
      <c r="D13" s="2">
        <f t="shared" si="1"/>
        <v>4.4136469965292762E-5</v>
      </c>
      <c r="E13">
        <v>174.3</v>
      </c>
      <c r="F13">
        <v>205.2</v>
      </c>
      <c r="G13">
        <v>173.9</v>
      </c>
      <c r="H13">
        <v>177</v>
      </c>
      <c r="I13">
        <v>183.3</v>
      </c>
      <c r="J13">
        <v>167.2</v>
      </c>
      <c r="K13">
        <v>140.9</v>
      </c>
      <c r="L13">
        <v>170.5</v>
      </c>
      <c r="M13">
        <v>119.1</v>
      </c>
      <c r="N13">
        <v>212.1</v>
      </c>
      <c r="O13">
        <v>177.6</v>
      </c>
      <c r="P13">
        <v>189.9</v>
      </c>
      <c r="Q13">
        <v>174.8</v>
      </c>
    </row>
    <row r="14" spans="1:17" x14ac:dyDescent="0.3">
      <c r="A14">
        <v>2023</v>
      </c>
      <c r="B14" t="s">
        <v>37</v>
      </c>
      <c r="C14">
        <f t="shared" si="0"/>
        <v>2274.1999999999998</v>
      </c>
      <c r="D14" s="2">
        <f t="shared" si="1"/>
        <v>3.7072998499424643E-3</v>
      </c>
      <c r="E14">
        <v>173.3</v>
      </c>
      <c r="F14">
        <v>206.9</v>
      </c>
      <c r="G14">
        <v>167.9</v>
      </c>
      <c r="H14">
        <v>178.2</v>
      </c>
      <c r="I14">
        <v>178.5</v>
      </c>
      <c r="J14">
        <v>173.7</v>
      </c>
      <c r="K14">
        <v>142.80000000000001</v>
      </c>
      <c r="L14">
        <v>172.8</v>
      </c>
      <c r="M14">
        <v>120.4</v>
      </c>
      <c r="N14">
        <v>215.5</v>
      </c>
      <c r="O14">
        <v>178.2</v>
      </c>
      <c r="P14">
        <v>190.5</v>
      </c>
      <c r="Q14">
        <v>175.5</v>
      </c>
    </row>
    <row r="15" spans="1:17" x14ac:dyDescent="0.3">
      <c r="A15">
        <v>2023</v>
      </c>
      <c r="B15" t="s">
        <v>38</v>
      </c>
      <c r="C15">
        <f t="shared" si="0"/>
        <v>2290.7000000000007</v>
      </c>
      <c r="D15" s="2">
        <f t="shared" si="1"/>
        <v>7.2552985665292899E-3</v>
      </c>
      <c r="E15">
        <v>173.2</v>
      </c>
      <c r="F15">
        <v>211.5</v>
      </c>
      <c r="G15">
        <v>171</v>
      </c>
      <c r="H15">
        <v>179.6</v>
      </c>
      <c r="I15">
        <v>173.3</v>
      </c>
      <c r="J15">
        <v>169</v>
      </c>
      <c r="K15">
        <v>148.69999999999999</v>
      </c>
      <c r="L15">
        <v>174.9</v>
      </c>
      <c r="M15">
        <v>121.9</v>
      </c>
      <c r="N15">
        <v>221</v>
      </c>
      <c r="O15">
        <v>178.7</v>
      </c>
      <c r="P15">
        <v>191.1</v>
      </c>
      <c r="Q15">
        <v>176.8</v>
      </c>
    </row>
    <row r="18" spans="2:3" ht="25.8" x14ac:dyDescent="0.5">
      <c r="C18" s="52" t="s">
        <v>30</v>
      </c>
    </row>
    <row r="20" spans="2:3" x14ac:dyDescent="0.3">
      <c r="B20" s="1" t="s">
        <v>2</v>
      </c>
      <c r="C20" s="21" t="s">
        <v>79</v>
      </c>
    </row>
    <row r="21" spans="2:3" x14ac:dyDescent="0.3">
      <c r="B21" s="12" t="s">
        <v>38</v>
      </c>
      <c r="C21" s="28"/>
    </row>
    <row r="22" spans="2:3" x14ac:dyDescent="0.3">
      <c r="B22" s="12" t="s">
        <v>39</v>
      </c>
      <c r="C22" s="32">
        <v>9.6551104724268005E-3</v>
      </c>
    </row>
    <row r="23" spans="2:3" x14ac:dyDescent="0.3">
      <c r="B23" s="12" t="s">
        <v>40</v>
      </c>
      <c r="C23" s="28">
        <v>1.8680781034558635E-3</v>
      </c>
    </row>
    <row r="24" spans="2:3" x14ac:dyDescent="0.3">
      <c r="B24" s="12" t="s">
        <v>41</v>
      </c>
      <c r="C24" s="28">
        <v>1.4650388457268489E-3</v>
      </c>
    </row>
    <row r="25" spans="2:3" x14ac:dyDescent="0.3">
      <c r="B25" s="12" t="s">
        <v>42</v>
      </c>
      <c r="C25" s="28">
        <v>5.3196205337354627E-3</v>
      </c>
    </row>
    <row r="26" spans="2:3" x14ac:dyDescent="0.3">
      <c r="B26" s="12" t="s">
        <v>43</v>
      </c>
      <c r="C26" s="28">
        <v>7.3639650762853063E-3</v>
      </c>
    </row>
    <row r="27" spans="2:3" x14ac:dyDescent="0.3">
      <c r="B27" s="12" t="s">
        <v>45</v>
      </c>
      <c r="C27" s="28">
        <v>1.4007441453271255E-3</v>
      </c>
    </row>
    <row r="28" spans="2:3" x14ac:dyDescent="0.3">
      <c r="B28" s="12" t="s">
        <v>46</v>
      </c>
      <c r="C28" s="28">
        <v>-4.6334746688813698E-3</v>
      </c>
    </row>
    <row r="29" spans="2:3" x14ac:dyDescent="0.3">
      <c r="B29" s="12" t="s">
        <v>31</v>
      </c>
      <c r="C29" s="28">
        <v>2.678845900487622E-3</v>
      </c>
    </row>
    <row r="30" spans="2:3" x14ac:dyDescent="0.3">
      <c r="B30" s="12" t="s">
        <v>35</v>
      </c>
      <c r="C30" s="31">
        <v>-7.6646811492643886E-3</v>
      </c>
    </row>
    <row r="31" spans="2:3" x14ac:dyDescent="0.3">
      <c r="B31" s="12" t="s">
        <v>36</v>
      </c>
      <c r="C31" s="28">
        <v>4.4136469965292762E-5</v>
      </c>
    </row>
    <row r="32" spans="2:3" x14ac:dyDescent="0.3">
      <c r="B32" s="12" t="s">
        <v>37</v>
      </c>
      <c r="C32" s="28">
        <v>3.7072998499424643E-3</v>
      </c>
    </row>
    <row r="33" spans="1:17" x14ac:dyDescent="0.3">
      <c r="B33" s="12" t="s">
        <v>38</v>
      </c>
      <c r="C33" s="28">
        <v>7.2552985665292899E-3</v>
      </c>
    </row>
    <row r="38" spans="1:17" ht="25.8" x14ac:dyDescent="0.5">
      <c r="B38" s="23" t="s">
        <v>102</v>
      </c>
    </row>
    <row r="39" spans="1:17" ht="25.8" x14ac:dyDescent="0.5">
      <c r="B39" s="23" t="s">
        <v>103</v>
      </c>
    </row>
    <row r="43" spans="1:17" x14ac:dyDescent="0.3">
      <c r="A43" s="1" t="s">
        <v>1</v>
      </c>
      <c r="B43" s="1" t="s">
        <v>2</v>
      </c>
      <c r="C43" s="22" t="s">
        <v>78</v>
      </c>
      <c r="D43" s="22" t="s">
        <v>79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14</v>
      </c>
      <c r="Q43" s="1" t="s">
        <v>15</v>
      </c>
    </row>
    <row r="44" spans="1:17" x14ac:dyDescent="0.3">
      <c r="A44">
        <v>2022</v>
      </c>
      <c r="B44" t="s">
        <v>38</v>
      </c>
      <c r="C44">
        <f>SUM(E44:Q44)</f>
        <v>2262.2000000000003</v>
      </c>
      <c r="E44">
        <v>156.69999999999999</v>
      </c>
      <c r="F44">
        <v>221.2</v>
      </c>
      <c r="G44">
        <v>164.1</v>
      </c>
      <c r="H44">
        <v>165.4</v>
      </c>
      <c r="I44">
        <v>189.5</v>
      </c>
      <c r="J44">
        <v>174.5</v>
      </c>
      <c r="K44">
        <v>203.2</v>
      </c>
      <c r="L44">
        <v>164.1</v>
      </c>
      <c r="M44">
        <v>121.2</v>
      </c>
      <c r="N44">
        <v>181.4</v>
      </c>
      <c r="O44">
        <v>158.5</v>
      </c>
      <c r="P44">
        <v>184.9</v>
      </c>
      <c r="Q44">
        <v>177.5</v>
      </c>
    </row>
    <row r="45" spans="1:17" x14ac:dyDescent="0.3">
      <c r="A45">
        <v>2022</v>
      </c>
      <c r="B45" t="s">
        <v>39</v>
      </c>
      <c r="C45">
        <f t="shared" ref="C45:C55" si="2">SUM(E45:Q45)</f>
        <v>2287.5</v>
      </c>
      <c r="D45" s="2">
        <f>(C45-C44)/C44</f>
        <v>1.1183803377243269E-2</v>
      </c>
      <c r="E45">
        <v>157.5</v>
      </c>
      <c r="F45">
        <v>223.4</v>
      </c>
      <c r="G45">
        <v>172.8</v>
      </c>
      <c r="H45">
        <v>166.4</v>
      </c>
      <c r="I45">
        <v>188.6</v>
      </c>
      <c r="J45">
        <v>174.1</v>
      </c>
      <c r="K45">
        <v>211.5</v>
      </c>
      <c r="L45">
        <v>163.6</v>
      </c>
      <c r="M45">
        <v>121.4</v>
      </c>
      <c r="N45">
        <v>183.5</v>
      </c>
      <c r="O45">
        <v>159.1</v>
      </c>
      <c r="P45">
        <v>186.3</v>
      </c>
      <c r="Q45">
        <v>179.3</v>
      </c>
    </row>
    <row r="46" spans="1:17" x14ac:dyDescent="0.3">
      <c r="A46">
        <v>2022</v>
      </c>
      <c r="B46" t="s">
        <v>40</v>
      </c>
      <c r="C46">
        <f t="shared" si="2"/>
        <v>2291.6</v>
      </c>
      <c r="D46" s="2">
        <f>(C46-C45)/C45</f>
        <v>1.7923497267759165E-3</v>
      </c>
      <c r="E46">
        <v>159.30000000000001</v>
      </c>
      <c r="F46">
        <v>217.1</v>
      </c>
      <c r="G46">
        <v>176.6</v>
      </c>
      <c r="H46">
        <v>167.1</v>
      </c>
      <c r="I46">
        <v>184.8</v>
      </c>
      <c r="J46">
        <v>179.5</v>
      </c>
      <c r="K46">
        <v>208.5</v>
      </c>
      <c r="L46">
        <v>164</v>
      </c>
      <c r="M46">
        <v>121.5</v>
      </c>
      <c r="N46">
        <v>186.3</v>
      </c>
      <c r="O46">
        <v>159.80000000000001</v>
      </c>
      <c r="P46">
        <v>187.7</v>
      </c>
      <c r="Q46">
        <v>179.4</v>
      </c>
    </row>
    <row r="47" spans="1:17" x14ac:dyDescent="0.3">
      <c r="A47">
        <v>2022</v>
      </c>
      <c r="B47" t="s">
        <v>41</v>
      </c>
      <c r="C47">
        <f t="shared" si="2"/>
        <v>2293.6999999999998</v>
      </c>
      <c r="D47" s="2">
        <f t="shared" ref="D47:D56" si="3">(C47-C46)/C46</f>
        <v>9.1639029499036005E-4</v>
      </c>
      <c r="E47">
        <v>162.1</v>
      </c>
      <c r="F47">
        <v>210.9</v>
      </c>
      <c r="G47">
        <v>170.6</v>
      </c>
      <c r="H47">
        <v>168.4</v>
      </c>
      <c r="I47">
        <v>182.5</v>
      </c>
      <c r="J47">
        <v>177.1</v>
      </c>
      <c r="K47">
        <v>213.1</v>
      </c>
      <c r="L47">
        <v>167.3</v>
      </c>
      <c r="M47">
        <v>122.2</v>
      </c>
      <c r="N47">
        <v>189.7</v>
      </c>
      <c r="O47">
        <v>160.5</v>
      </c>
      <c r="P47">
        <v>188.9</v>
      </c>
      <c r="Q47">
        <v>180.4</v>
      </c>
    </row>
    <row r="48" spans="1:17" x14ac:dyDescent="0.3">
      <c r="A48">
        <v>2022</v>
      </c>
      <c r="B48" t="s">
        <v>42</v>
      </c>
      <c r="C48">
        <f t="shared" si="2"/>
        <v>2306.4</v>
      </c>
      <c r="D48" s="2">
        <f t="shared" si="3"/>
        <v>5.5369054366308902E-3</v>
      </c>
      <c r="E48">
        <v>164.9</v>
      </c>
      <c r="F48">
        <v>213.7</v>
      </c>
      <c r="G48">
        <v>170.9</v>
      </c>
      <c r="H48">
        <v>170.1</v>
      </c>
      <c r="I48">
        <v>179.3</v>
      </c>
      <c r="J48">
        <v>167.5</v>
      </c>
      <c r="K48">
        <v>220.8</v>
      </c>
      <c r="L48">
        <v>169.2</v>
      </c>
      <c r="M48">
        <v>123.1</v>
      </c>
      <c r="N48">
        <v>193.6</v>
      </c>
      <c r="O48">
        <v>161.1</v>
      </c>
      <c r="P48">
        <v>190.4</v>
      </c>
      <c r="Q48">
        <v>181.8</v>
      </c>
    </row>
    <row r="49" spans="1:17" x14ac:dyDescent="0.3">
      <c r="A49">
        <v>2022</v>
      </c>
      <c r="B49" t="s">
        <v>43</v>
      </c>
      <c r="C49">
        <f t="shared" si="2"/>
        <v>2322.3000000000002</v>
      </c>
      <c r="D49" s="2">
        <f t="shared" si="3"/>
        <v>6.8938605619147117E-3</v>
      </c>
      <c r="E49">
        <v>166.4</v>
      </c>
      <c r="F49">
        <v>214.9</v>
      </c>
      <c r="G49">
        <v>171.9</v>
      </c>
      <c r="H49">
        <v>171</v>
      </c>
      <c r="I49">
        <v>177.7</v>
      </c>
      <c r="J49">
        <v>165.7</v>
      </c>
      <c r="K49">
        <v>228.6</v>
      </c>
      <c r="L49">
        <v>169.9</v>
      </c>
      <c r="M49">
        <v>123.4</v>
      </c>
      <c r="N49">
        <v>196.4</v>
      </c>
      <c r="O49">
        <v>161.6</v>
      </c>
      <c r="P49">
        <v>191.5</v>
      </c>
      <c r="Q49">
        <v>183.3</v>
      </c>
    </row>
    <row r="50" spans="1:17" x14ac:dyDescent="0.3">
      <c r="A50">
        <v>2022</v>
      </c>
      <c r="B50" t="s">
        <v>45</v>
      </c>
      <c r="C50">
        <f t="shared" si="2"/>
        <v>2314.4</v>
      </c>
      <c r="D50" s="2">
        <f t="shared" si="3"/>
        <v>-3.4017999397149765E-3</v>
      </c>
      <c r="E50">
        <v>168.4</v>
      </c>
      <c r="F50">
        <v>213.4</v>
      </c>
      <c r="G50">
        <v>183.2</v>
      </c>
      <c r="H50">
        <v>172.3</v>
      </c>
      <c r="I50">
        <v>180</v>
      </c>
      <c r="J50">
        <v>162.6</v>
      </c>
      <c r="K50">
        <v>205.5</v>
      </c>
      <c r="L50">
        <v>171</v>
      </c>
      <c r="M50">
        <v>123.4</v>
      </c>
      <c r="N50">
        <v>198.8</v>
      </c>
      <c r="O50">
        <v>162.1</v>
      </c>
      <c r="P50">
        <v>192.4</v>
      </c>
      <c r="Q50">
        <v>181.3</v>
      </c>
    </row>
    <row r="51" spans="1:17" x14ac:dyDescent="0.3">
      <c r="A51">
        <v>2022</v>
      </c>
      <c r="B51" t="s">
        <v>46</v>
      </c>
      <c r="C51">
        <f t="shared" si="2"/>
        <v>2295.7999999999997</v>
      </c>
      <c r="D51" s="2">
        <f t="shared" si="3"/>
        <v>-8.0366401659178899E-3</v>
      </c>
      <c r="E51">
        <v>170.2</v>
      </c>
      <c r="F51">
        <v>212.9</v>
      </c>
      <c r="G51">
        <v>191.9</v>
      </c>
      <c r="H51">
        <v>173.9</v>
      </c>
      <c r="I51">
        <v>179.1</v>
      </c>
      <c r="J51">
        <v>159.5</v>
      </c>
      <c r="K51">
        <v>178.7</v>
      </c>
      <c r="L51">
        <v>171.3</v>
      </c>
      <c r="M51">
        <v>123.1</v>
      </c>
      <c r="N51">
        <v>200.5</v>
      </c>
      <c r="O51">
        <v>162.80000000000001</v>
      </c>
      <c r="P51">
        <v>193.3</v>
      </c>
      <c r="Q51">
        <v>178.6</v>
      </c>
    </row>
    <row r="52" spans="1:17" x14ac:dyDescent="0.3">
      <c r="A52">
        <v>2023</v>
      </c>
      <c r="B52" t="s">
        <v>31</v>
      </c>
      <c r="C52">
        <f t="shared" si="2"/>
        <v>2310.2000000000003</v>
      </c>
      <c r="D52" s="2">
        <f t="shared" si="3"/>
        <v>6.2723233731163631E-3</v>
      </c>
      <c r="E52">
        <v>173.3</v>
      </c>
      <c r="F52">
        <v>215.2</v>
      </c>
      <c r="G52">
        <v>197</v>
      </c>
      <c r="H52">
        <v>175.2</v>
      </c>
      <c r="I52">
        <v>178</v>
      </c>
      <c r="J52">
        <v>160.5</v>
      </c>
      <c r="K52">
        <v>175.3</v>
      </c>
      <c r="L52">
        <v>171.2</v>
      </c>
      <c r="M52">
        <v>122.7</v>
      </c>
      <c r="N52">
        <v>204.3</v>
      </c>
      <c r="O52">
        <v>163.69999999999999</v>
      </c>
      <c r="P52">
        <v>194.3</v>
      </c>
      <c r="Q52">
        <v>179.5</v>
      </c>
    </row>
    <row r="53" spans="1:17" x14ac:dyDescent="0.3">
      <c r="A53">
        <v>2023</v>
      </c>
      <c r="B53" t="s">
        <v>35</v>
      </c>
      <c r="C53">
        <f t="shared" si="2"/>
        <v>2303.1999999999998</v>
      </c>
      <c r="D53" s="2">
        <f t="shared" si="3"/>
        <v>-3.0300406891180217E-3</v>
      </c>
      <c r="E53">
        <v>174.7</v>
      </c>
      <c r="F53">
        <v>212.2</v>
      </c>
      <c r="G53">
        <v>177.2</v>
      </c>
      <c r="H53">
        <v>177.9</v>
      </c>
      <c r="I53">
        <v>172.2</v>
      </c>
      <c r="J53">
        <v>172.1</v>
      </c>
      <c r="K53">
        <v>175.8</v>
      </c>
      <c r="L53">
        <v>172.2</v>
      </c>
      <c r="M53">
        <v>121.9</v>
      </c>
      <c r="N53">
        <v>204.8</v>
      </c>
      <c r="O53">
        <v>164.9</v>
      </c>
      <c r="P53">
        <v>196.6</v>
      </c>
      <c r="Q53">
        <v>180.7</v>
      </c>
    </row>
    <row r="54" spans="1:17" x14ac:dyDescent="0.3">
      <c r="A54">
        <v>2023</v>
      </c>
      <c r="B54" t="s">
        <v>36</v>
      </c>
      <c r="C54">
        <f t="shared" si="2"/>
        <v>2303.4</v>
      </c>
      <c r="D54" s="2">
        <f t="shared" si="3"/>
        <v>8.6835706842772171E-5</v>
      </c>
      <c r="E54">
        <v>174.7</v>
      </c>
      <c r="F54">
        <v>212.2</v>
      </c>
      <c r="G54">
        <v>177.2</v>
      </c>
      <c r="H54">
        <v>177.9</v>
      </c>
      <c r="I54">
        <v>172.2</v>
      </c>
      <c r="J54">
        <v>172.1</v>
      </c>
      <c r="K54">
        <v>175.9</v>
      </c>
      <c r="L54">
        <v>172.2</v>
      </c>
      <c r="M54">
        <v>121.9</v>
      </c>
      <c r="N54">
        <v>204.8</v>
      </c>
      <c r="O54">
        <v>164.9</v>
      </c>
      <c r="P54">
        <v>196.6</v>
      </c>
      <c r="Q54">
        <v>180.8</v>
      </c>
    </row>
    <row r="55" spans="1:17" x14ac:dyDescent="0.3">
      <c r="A55">
        <v>2023</v>
      </c>
      <c r="B55" t="s">
        <v>37</v>
      </c>
      <c r="C55">
        <f t="shared" si="2"/>
        <v>2317.7000000000003</v>
      </c>
      <c r="D55" s="2">
        <f t="shared" si="3"/>
        <v>6.2082139446037084E-3</v>
      </c>
      <c r="E55">
        <v>174.8</v>
      </c>
      <c r="F55">
        <v>213.7</v>
      </c>
      <c r="G55">
        <v>172.4</v>
      </c>
      <c r="H55">
        <v>178.8</v>
      </c>
      <c r="I55">
        <v>168.7</v>
      </c>
      <c r="J55">
        <v>179.2</v>
      </c>
      <c r="K55">
        <v>179.9</v>
      </c>
      <c r="L55">
        <v>174.7</v>
      </c>
      <c r="M55">
        <v>123.1</v>
      </c>
      <c r="N55">
        <v>207.8</v>
      </c>
      <c r="O55">
        <v>165.5</v>
      </c>
      <c r="P55">
        <v>197</v>
      </c>
      <c r="Q55">
        <v>182.1</v>
      </c>
    </row>
    <row r="56" spans="1:17" x14ac:dyDescent="0.3">
      <c r="A56">
        <v>2023</v>
      </c>
      <c r="B56" t="s">
        <v>38</v>
      </c>
      <c r="C56">
        <f>SUM(E56:Q56)</f>
        <v>2335.1</v>
      </c>
      <c r="D56" s="2">
        <f t="shared" si="3"/>
        <v>7.5074427233894096E-3</v>
      </c>
      <c r="E56">
        <v>174.7</v>
      </c>
      <c r="F56">
        <v>219.4</v>
      </c>
      <c r="G56">
        <v>176.7</v>
      </c>
      <c r="H56">
        <v>179.4</v>
      </c>
      <c r="I56">
        <v>164.4</v>
      </c>
      <c r="J56">
        <v>175.8</v>
      </c>
      <c r="K56">
        <v>185</v>
      </c>
      <c r="L56">
        <v>176.9</v>
      </c>
      <c r="M56">
        <v>124.2</v>
      </c>
      <c r="N56">
        <v>211.9</v>
      </c>
      <c r="O56">
        <v>165.9</v>
      </c>
      <c r="P56">
        <v>197.7</v>
      </c>
      <c r="Q56">
        <v>183.1</v>
      </c>
    </row>
    <row r="60" spans="1:17" ht="25.8" x14ac:dyDescent="0.5">
      <c r="C60" s="53" t="s">
        <v>33</v>
      </c>
    </row>
    <row r="62" spans="1:17" x14ac:dyDescent="0.3">
      <c r="B62" s="26" t="s">
        <v>2</v>
      </c>
      <c r="C62" s="27" t="s">
        <v>79</v>
      </c>
    </row>
    <row r="63" spans="1:17" x14ac:dyDescent="0.3">
      <c r="B63" s="12" t="s">
        <v>38</v>
      </c>
      <c r="C63" s="12"/>
    </row>
    <row r="64" spans="1:17" x14ac:dyDescent="0.3">
      <c r="B64" s="12" t="s">
        <v>39</v>
      </c>
      <c r="C64" s="30">
        <v>1.1183803377243269E-2</v>
      </c>
    </row>
    <row r="65" spans="2:3" x14ac:dyDescent="0.3">
      <c r="B65" s="12" t="s">
        <v>40</v>
      </c>
      <c r="C65" s="28">
        <v>1.7923497267759165E-3</v>
      </c>
    </row>
    <row r="66" spans="2:3" x14ac:dyDescent="0.3">
      <c r="B66" s="12" t="s">
        <v>41</v>
      </c>
      <c r="C66" s="28">
        <v>9.1639029499036005E-4</v>
      </c>
    </row>
    <row r="67" spans="2:3" x14ac:dyDescent="0.3">
      <c r="B67" s="12" t="s">
        <v>42</v>
      </c>
      <c r="C67" s="28">
        <v>5.5369054366308902E-3</v>
      </c>
    </row>
    <row r="68" spans="2:3" x14ac:dyDescent="0.3">
      <c r="B68" s="12" t="s">
        <v>43</v>
      </c>
      <c r="C68" s="28">
        <v>6.8938605619147117E-3</v>
      </c>
    </row>
    <row r="69" spans="2:3" x14ac:dyDescent="0.3">
      <c r="B69" s="12" t="s">
        <v>45</v>
      </c>
      <c r="C69" s="28">
        <v>-3.4017999397149765E-3</v>
      </c>
    </row>
    <row r="70" spans="2:3" x14ac:dyDescent="0.3">
      <c r="B70" s="12" t="s">
        <v>46</v>
      </c>
      <c r="C70" s="29">
        <v>-8.0366401659178899E-3</v>
      </c>
    </row>
    <row r="71" spans="2:3" x14ac:dyDescent="0.3">
      <c r="B71" s="12" t="s">
        <v>31</v>
      </c>
      <c r="C71" s="28">
        <v>6.2723233731163631E-3</v>
      </c>
    </row>
    <row r="72" spans="2:3" x14ac:dyDescent="0.3">
      <c r="B72" s="12" t="s">
        <v>35</v>
      </c>
      <c r="C72" s="28">
        <v>-3.0300406891180217E-3</v>
      </c>
    </row>
    <row r="73" spans="2:3" x14ac:dyDescent="0.3">
      <c r="B73" s="12" t="s">
        <v>36</v>
      </c>
      <c r="C73" s="28">
        <v>8.6835706842772171E-5</v>
      </c>
    </row>
    <row r="74" spans="2:3" x14ac:dyDescent="0.3">
      <c r="B74" s="12" t="s">
        <v>37</v>
      </c>
      <c r="C74" s="28">
        <v>6.2082139446037084E-3</v>
      </c>
    </row>
    <row r="75" spans="2:3" x14ac:dyDescent="0.3">
      <c r="B75" s="12" t="s">
        <v>38</v>
      </c>
      <c r="C75" s="28">
        <v>7.5074427233894096E-3</v>
      </c>
    </row>
    <row r="80" spans="2:3" ht="25.8" x14ac:dyDescent="0.5">
      <c r="B80" s="23" t="s">
        <v>81</v>
      </c>
    </row>
    <row r="81" spans="1:17" ht="25.8" x14ac:dyDescent="0.5">
      <c r="B81" s="23" t="s">
        <v>82</v>
      </c>
    </row>
    <row r="84" spans="1:17" x14ac:dyDescent="0.3">
      <c r="A84" s="1" t="s">
        <v>1</v>
      </c>
      <c r="B84" s="1" t="s">
        <v>2</v>
      </c>
      <c r="C84" s="1" t="s">
        <v>78</v>
      </c>
      <c r="D84" s="1" t="s">
        <v>79</v>
      </c>
      <c r="E84" s="1" t="s">
        <v>3</v>
      </c>
      <c r="F84" s="1" t="s">
        <v>4</v>
      </c>
      <c r="G84" s="1" t="s">
        <v>5</v>
      </c>
      <c r="H84" s="1" t="s">
        <v>6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14</v>
      </c>
      <c r="Q84" s="1" t="s">
        <v>15</v>
      </c>
    </row>
    <row r="85" spans="1:17" x14ac:dyDescent="0.3">
      <c r="A85">
        <v>2022</v>
      </c>
      <c r="B85" t="s">
        <v>38</v>
      </c>
      <c r="C85">
        <f>SUM(E85:Q85)</f>
        <v>2238.9000000000005</v>
      </c>
      <c r="E85">
        <v>154.1</v>
      </c>
      <c r="F85">
        <v>217</v>
      </c>
      <c r="G85">
        <v>162.4</v>
      </c>
      <c r="H85">
        <v>164.9</v>
      </c>
      <c r="I85">
        <v>202.4</v>
      </c>
      <c r="J85">
        <v>171</v>
      </c>
      <c r="K85">
        <v>174.9</v>
      </c>
      <c r="L85">
        <v>164.7</v>
      </c>
      <c r="M85">
        <v>119.7</v>
      </c>
      <c r="N85">
        <v>184.9</v>
      </c>
      <c r="O85">
        <v>167.1</v>
      </c>
      <c r="P85">
        <v>182.5</v>
      </c>
      <c r="Q85">
        <v>173.3</v>
      </c>
    </row>
    <row r="86" spans="1:17" x14ac:dyDescent="0.3">
      <c r="A86">
        <v>2022</v>
      </c>
      <c r="B86" t="s">
        <v>39</v>
      </c>
      <c r="C86">
        <f t="shared" ref="C86:C96" si="4">SUM(E86:Q86)</f>
        <v>2261.9</v>
      </c>
      <c r="D86" s="2">
        <f>(C86-C85)/C85</f>
        <v>1.0272901871454526E-2</v>
      </c>
      <c r="E86">
        <v>155</v>
      </c>
      <c r="F86">
        <v>219.4</v>
      </c>
      <c r="G86">
        <v>170.8</v>
      </c>
      <c r="H86">
        <v>165.8</v>
      </c>
      <c r="I86">
        <v>200.9</v>
      </c>
      <c r="J86">
        <v>169.7</v>
      </c>
      <c r="K86">
        <v>182.3</v>
      </c>
      <c r="L86">
        <v>164.3</v>
      </c>
      <c r="M86">
        <v>119.9</v>
      </c>
      <c r="N86">
        <v>187.1</v>
      </c>
      <c r="O86">
        <v>167.9</v>
      </c>
      <c r="P86">
        <v>183.9</v>
      </c>
      <c r="Q86">
        <v>174.9</v>
      </c>
    </row>
    <row r="87" spans="1:17" x14ac:dyDescent="0.3">
      <c r="A87">
        <v>2022</v>
      </c>
      <c r="B87" t="s">
        <v>40</v>
      </c>
      <c r="C87">
        <f t="shared" si="4"/>
        <v>2266.3000000000002</v>
      </c>
      <c r="D87" s="2">
        <f t="shared" ref="D87:D96" si="5">(C87-C86)/C86</f>
        <v>1.9452672531942573E-3</v>
      </c>
      <c r="E87">
        <v>156.5</v>
      </c>
      <c r="F87">
        <v>213</v>
      </c>
      <c r="G87">
        <v>175.2</v>
      </c>
      <c r="H87">
        <v>166.6</v>
      </c>
      <c r="I87">
        <v>195.8</v>
      </c>
      <c r="J87">
        <v>174.2</v>
      </c>
      <c r="K87">
        <v>182.1</v>
      </c>
      <c r="L87">
        <v>164.3</v>
      </c>
      <c r="M87">
        <v>120</v>
      </c>
      <c r="N87">
        <v>190</v>
      </c>
      <c r="O87">
        <v>168.4</v>
      </c>
      <c r="P87">
        <v>185.2</v>
      </c>
      <c r="Q87">
        <v>175</v>
      </c>
    </row>
    <row r="88" spans="1:17" x14ac:dyDescent="0.3">
      <c r="A88">
        <v>2022</v>
      </c>
      <c r="B88" t="s">
        <v>41</v>
      </c>
      <c r="C88">
        <f t="shared" si="4"/>
        <v>2269.2000000000003</v>
      </c>
      <c r="D88" s="2">
        <f t="shared" si="5"/>
        <v>1.279618761858576E-3</v>
      </c>
      <c r="E88">
        <v>160.30000000000001</v>
      </c>
      <c r="F88">
        <v>206.5</v>
      </c>
      <c r="G88">
        <v>169.2</v>
      </c>
      <c r="H88">
        <v>168.1</v>
      </c>
      <c r="I88">
        <v>192.4</v>
      </c>
      <c r="J88">
        <v>172.9</v>
      </c>
      <c r="K88">
        <v>186.7</v>
      </c>
      <c r="L88">
        <v>167.2</v>
      </c>
      <c r="M88">
        <v>120.9</v>
      </c>
      <c r="N88">
        <v>193.6</v>
      </c>
      <c r="O88">
        <v>168.8</v>
      </c>
      <c r="P88">
        <v>186.3</v>
      </c>
      <c r="Q88">
        <v>176.3</v>
      </c>
    </row>
    <row r="89" spans="1:17" x14ac:dyDescent="0.3">
      <c r="A89">
        <v>2022</v>
      </c>
      <c r="B89" t="s">
        <v>42</v>
      </c>
      <c r="C89">
        <f t="shared" si="4"/>
        <v>2280.9</v>
      </c>
      <c r="D89" s="2">
        <f t="shared" si="5"/>
        <v>5.1560021152828386E-3</v>
      </c>
      <c r="E89">
        <v>163.5</v>
      </c>
      <c r="F89">
        <v>209.2</v>
      </c>
      <c r="G89">
        <v>169.7</v>
      </c>
      <c r="H89">
        <v>169.7</v>
      </c>
      <c r="I89">
        <v>188.7</v>
      </c>
      <c r="J89">
        <v>165.7</v>
      </c>
      <c r="K89">
        <v>191.8</v>
      </c>
      <c r="L89">
        <v>169.1</v>
      </c>
      <c r="M89">
        <v>121.6</v>
      </c>
      <c r="N89">
        <v>197.3</v>
      </c>
      <c r="O89">
        <v>169.4</v>
      </c>
      <c r="P89">
        <v>187.4</v>
      </c>
      <c r="Q89">
        <v>177.8</v>
      </c>
    </row>
    <row r="90" spans="1:17" x14ac:dyDescent="0.3">
      <c r="A90">
        <v>2022</v>
      </c>
      <c r="B90" t="s">
        <v>43</v>
      </c>
      <c r="C90">
        <f t="shared" si="4"/>
        <v>2297.3000000000002</v>
      </c>
      <c r="D90" s="2">
        <f t="shared" si="5"/>
        <v>7.1901442413082953E-3</v>
      </c>
      <c r="E90">
        <v>165.2</v>
      </c>
      <c r="F90">
        <v>210.9</v>
      </c>
      <c r="G90">
        <v>170.9</v>
      </c>
      <c r="H90">
        <v>170.9</v>
      </c>
      <c r="I90">
        <v>186.5</v>
      </c>
      <c r="J90">
        <v>163.80000000000001</v>
      </c>
      <c r="K90">
        <v>199.7</v>
      </c>
      <c r="L90">
        <v>169.8</v>
      </c>
      <c r="M90">
        <v>121.9</v>
      </c>
      <c r="N90">
        <v>199.9</v>
      </c>
      <c r="O90">
        <v>169.9</v>
      </c>
      <c r="P90">
        <v>188.3</v>
      </c>
      <c r="Q90">
        <v>179.6</v>
      </c>
    </row>
    <row r="91" spans="1:17" x14ac:dyDescent="0.3">
      <c r="A91">
        <v>2022</v>
      </c>
      <c r="B91" t="s">
        <v>45</v>
      </c>
      <c r="C91">
        <f t="shared" si="4"/>
        <v>2296.8000000000002</v>
      </c>
      <c r="D91" s="2">
        <f t="shared" si="5"/>
        <v>-2.1764680276846731E-4</v>
      </c>
      <c r="E91">
        <v>167.4</v>
      </c>
      <c r="F91">
        <v>209.4</v>
      </c>
      <c r="G91">
        <v>181.4</v>
      </c>
      <c r="H91">
        <v>172.3</v>
      </c>
      <c r="I91">
        <v>188.9</v>
      </c>
      <c r="J91">
        <v>160.69999999999999</v>
      </c>
      <c r="K91">
        <v>183.1</v>
      </c>
      <c r="L91">
        <v>170.5</v>
      </c>
      <c r="M91">
        <v>122.1</v>
      </c>
      <c r="N91">
        <v>202.8</v>
      </c>
      <c r="O91">
        <v>170.4</v>
      </c>
      <c r="P91">
        <v>189.5</v>
      </c>
      <c r="Q91">
        <v>178.3</v>
      </c>
    </row>
    <row r="92" spans="1:17" x14ac:dyDescent="0.3">
      <c r="A92">
        <v>2022</v>
      </c>
      <c r="B92" t="s">
        <v>46</v>
      </c>
      <c r="C92">
        <f t="shared" si="4"/>
        <v>2283.4</v>
      </c>
      <c r="D92" s="2">
        <f t="shared" si="5"/>
        <v>-5.8342041100662182E-3</v>
      </c>
      <c r="E92">
        <v>169.2</v>
      </c>
      <c r="F92">
        <v>209</v>
      </c>
      <c r="G92">
        <v>190.2</v>
      </c>
      <c r="H92">
        <v>173.6</v>
      </c>
      <c r="I92">
        <v>188.5</v>
      </c>
      <c r="J92">
        <v>158</v>
      </c>
      <c r="K92">
        <v>159.9</v>
      </c>
      <c r="L92">
        <v>170.8</v>
      </c>
      <c r="M92">
        <v>121.8</v>
      </c>
      <c r="N92">
        <v>205.2</v>
      </c>
      <c r="O92">
        <v>171</v>
      </c>
      <c r="P92">
        <v>190.3</v>
      </c>
      <c r="Q92">
        <v>175.9</v>
      </c>
    </row>
    <row r="93" spans="1:17" x14ac:dyDescent="0.3">
      <c r="A93">
        <v>2023</v>
      </c>
      <c r="B93" t="s">
        <v>31</v>
      </c>
      <c r="C93">
        <f t="shared" si="4"/>
        <v>2292.6999999999998</v>
      </c>
      <c r="D93" s="2">
        <f t="shared" si="5"/>
        <v>4.0728737847068961E-3</v>
      </c>
      <c r="E93">
        <v>173.8</v>
      </c>
      <c r="F93">
        <v>210.7</v>
      </c>
      <c r="G93">
        <v>194.5</v>
      </c>
      <c r="H93">
        <v>174.6</v>
      </c>
      <c r="I93">
        <v>187.2</v>
      </c>
      <c r="J93">
        <v>158.30000000000001</v>
      </c>
      <c r="K93">
        <v>153.9</v>
      </c>
      <c r="L93">
        <v>170.9</v>
      </c>
      <c r="M93">
        <v>121.1</v>
      </c>
      <c r="N93">
        <v>208.4</v>
      </c>
      <c r="O93">
        <v>171.4</v>
      </c>
      <c r="P93">
        <v>191.2</v>
      </c>
      <c r="Q93">
        <v>176.7</v>
      </c>
    </row>
    <row r="94" spans="1:17" x14ac:dyDescent="0.3">
      <c r="A94">
        <v>2023</v>
      </c>
      <c r="B94" t="s">
        <v>35</v>
      </c>
      <c r="C94">
        <f t="shared" si="4"/>
        <v>2279.1</v>
      </c>
      <c r="D94" s="2">
        <f t="shared" si="5"/>
        <v>-5.9318707201116193E-3</v>
      </c>
      <c r="E94">
        <v>174.4</v>
      </c>
      <c r="F94">
        <v>207.7</v>
      </c>
      <c r="G94">
        <v>175.2</v>
      </c>
      <c r="H94">
        <v>177.3</v>
      </c>
      <c r="I94">
        <v>179.3</v>
      </c>
      <c r="J94">
        <v>169.5</v>
      </c>
      <c r="K94">
        <v>152.69999999999999</v>
      </c>
      <c r="L94">
        <v>171</v>
      </c>
      <c r="M94">
        <v>120</v>
      </c>
      <c r="N94">
        <v>209.7</v>
      </c>
      <c r="O94">
        <v>172.3</v>
      </c>
      <c r="P94">
        <v>193</v>
      </c>
      <c r="Q94">
        <v>177</v>
      </c>
    </row>
    <row r="95" spans="1:17" x14ac:dyDescent="0.3">
      <c r="A95">
        <v>2023</v>
      </c>
      <c r="B95" t="s">
        <v>36</v>
      </c>
      <c r="C95">
        <f t="shared" si="4"/>
        <v>2279.1999999999998</v>
      </c>
      <c r="D95" s="2">
        <f t="shared" si="5"/>
        <v>4.3876968978943027E-5</v>
      </c>
      <c r="E95">
        <v>174.4</v>
      </c>
      <c r="F95">
        <v>207.7</v>
      </c>
      <c r="G95">
        <v>175.2</v>
      </c>
      <c r="H95">
        <v>177.3</v>
      </c>
      <c r="I95">
        <v>179.2</v>
      </c>
      <c r="J95">
        <v>169.5</v>
      </c>
      <c r="K95">
        <v>152.80000000000001</v>
      </c>
      <c r="L95">
        <v>171.1</v>
      </c>
      <c r="M95">
        <v>120</v>
      </c>
      <c r="N95">
        <v>209.7</v>
      </c>
      <c r="O95">
        <v>172.3</v>
      </c>
      <c r="P95">
        <v>193</v>
      </c>
      <c r="Q95">
        <v>177</v>
      </c>
    </row>
    <row r="96" spans="1:17" x14ac:dyDescent="0.3">
      <c r="A96">
        <v>2023</v>
      </c>
      <c r="B96" t="s">
        <v>37</v>
      </c>
      <c r="C96">
        <f t="shared" si="4"/>
        <v>2289.6000000000004</v>
      </c>
      <c r="D96" s="2">
        <f t="shared" si="5"/>
        <v>4.5630045630048032E-3</v>
      </c>
      <c r="E96">
        <v>173.8</v>
      </c>
      <c r="F96">
        <v>209.3</v>
      </c>
      <c r="G96">
        <v>169.6</v>
      </c>
      <c r="H96">
        <v>178.4</v>
      </c>
      <c r="I96">
        <v>174.9</v>
      </c>
      <c r="J96">
        <v>176.3</v>
      </c>
      <c r="K96">
        <v>155.4</v>
      </c>
      <c r="L96">
        <v>173.4</v>
      </c>
      <c r="M96">
        <v>121.3</v>
      </c>
      <c r="N96">
        <v>212.9</v>
      </c>
      <c r="O96">
        <v>172.9</v>
      </c>
      <c r="P96">
        <v>193.5</v>
      </c>
      <c r="Q96">
        <v>177.9</v>
      </c>
    </row>
    <row r="97" spans="1:17" x14ac:dyDescent="0.3">
      <c r="A97">
        <v>2023</v>
      </c>
      <c r="B97" t="s">
        <v>38</v>
      </c>
      <c r="C97">
        <f>SUM(E97:Q97)</f>
        <v>2306.9</v>
      </c>
      <c r="D97" s="2">
        <f>(C97-C96)/C96</f>
        <v>7.5559049615652185E-3</v>
      </c>
      <c r="E97">
        <v>173.7</v>
      </c>
      <c r="F97">
        <v>214.3</v>
      </c>
      <c r="G97">
        <v>173.2</v>
      </c>
      <c r="H97">
        <v>179.5</v>
      </c>
      <c r="I97">
        <v>170</v>
      </c>
      <c r="J97">
        <v>172.2</v>
      </c>
      <c r="K97">
        <v>161</v>
      </c>
      <c r="L97">
        <v>175.6</v>
      </c>
      <c r="M97">
        <v>122.7</v>
      </c>
      <c r="N97">
        <v>218</v>
      </c>
      <c r="O97">
        <v>173.4</v>
      </c>
      <c r="P97">
        <v>194.2</v>
      </c>
      <c r="Q97">
        <v>179.1</v>
      </c>
    </row>
    <row r="98" spans="1:17" x14ac:dyDescent="0.3">
      <c r="D98" s="2"/>
    </row>
    <row r="99" spans="1:17" x14ac:dyDescent="0.3">
      <c r="D99" s="2"/>
    </row>
    <row r="100" spans="1:17" x14ac:dyDescent="0.3">
      <c r="D100" s="2"/>
    </row>
    <row r="103" spans="1:17" ht="25.8" x14ac:dyDescent="0.5">
      <c r="C103" s="54" t="s">
        <v>66</v>
      </c>
    </row>
    <row r="105" spans="1:17" x14ac:dyDescent="0.3">
      <c r="B105" s="26" t="s">
        <v>2</v>
      </c>
      <c r="C105" s="27" t="s">
        <v>79</v>
      </c>
    </row>
    <row r="106" spans="1:17" x14ac:dyDescent="0.3">
      <c r="B106" s="12" t="s">
        <v>38</v>
      </c>
      <c r="C106" s="12"/>
    </row>
    <row r="107" spans="1:17" x14ac:dyDescent="0.3">
      <c r="B107" s="12" t="s">
        <v>39</v>
      </c>
      <c r="C107" s="30">
        <v>1.0272901871454526E-2</v>
      </c>
    </row>
    <row r="108" spans="1:17" x14ac:dyDescent="0.3">
      <c r="B108" s="12" t="s">
        <v>40</v>
      </c>
      <c r="C108" s="28">
        <v>1.9452672531942573E-3</v>
      </c>
    </row>
    <row r="109" spans="1:17" x14ac:dyDescent="0.3">
      <c r="B109" s="12" t="s">
        <v>41</v>
      </c>
      <c r="C109" s="28">
        <v>1.279618761858576E-3</v>
      </c>
    </row>
    <row r="110" spans="1:17" x14ac:dyDescent="0.3">
      <c r="B110" s="12" t="s">
        <v>42</v>
      </c>
      <c r="C110" s="28">
        <v>5.1560021152828386E-3</v>
      </c>
    </row>
    <row r="111" spans="1:17" x14ac:dyDescent="0.3">
      <c r="B111" s="12" t="s">
        <v>43</v>
      </c>
      <c r="C111" s="28">
        <v>7.1901442413082953E-3</v>
      </c>
    </row>
    <row r="112" spans="1:17" x14ac:dyDescent="0.3">
      <c r="B112" s="12" t="s">
        <v>45</v>
      </c>
      <c r="C112" s="28">
        <v>-2.1764680276846731E-4</v>
      </c>
    </row>
    <row r="113" spans="1:9" x14ac:dyDescent="0.3">
      <c r="B113" s="12" t="s">
        <v>46</v>
      </c>
      <c r="C113" s="29">
        <v>-5.8342041100662182E-3</v>
      </c>
    </row>
    <row r="114" spans="1:9" x14ac:dyDescent="0.3">
      <c r="B114" s="12" t="s">
        <v>31</v>
      </c>
      <c r="C114" s="28">
        <v>4.0728737847068961E-3</v>
      </c>
    </row>
    <row r="115" spans="1:9" x14ac:dyDescent="0.3">
      <c r="B115" s="12" t="s">
        <v>35</v>
      </c>
      <c r="C115" s="29">
        <v>-5.9318707201116193E-3</v>
      </c>
    </row>
    <row r="116" spans="1:9" x14ac:dyDescent="0.3">
      <c r="B116" s="12" t="s">
        <v>36</v>
      </c>
      <c r="C116" s="28">
        <v>4.3876968978943027E-5</v>
      </c>
    </row>
    <row r="117" spans="1:9" x14ac:dyDescent="0.3">
      <c r="B117" s="12" t="s">
        <v>37</v>
      </c>
      <c r="C117" s="28">
        <v>4.5630045630048032E-3</v>
      </c>
    </row>
    <row r="118" spans="1:9" x14ac:dyDescent="0.3">
      <c r="B118" s="12" t="s">
        <v>38</v>
      </c>
      <c r="C118" s="28">
        <v>7.5559049615652185E-3</v>
      </c>
    </row>
    <row r="122" spans="1:9" ht="25.8" x14ac:dyDescent="0.5">
      <c r="B122" s="23" t="s">
        <v>104</v>
      </c>
    </row>
    <row r="123" spans="1:9" ht="25.8" x14ac:dyDescent="0.5">
      <c r="B123" s="23" t="s">
        <v>105</v>
      </c>
    </row>
    <row r="125" spans="1:9" x14ac:dyDescent="0.3">
      <c r="A125" s="56"/>
      <c r="B125" s="56"/>
      <c r="C125" s="56"/>
      <c r="D125" s="56"/>
      <c r="E125" s="56"/>
      <c r="F125" s="56"/>
      <c r="G125" s="56"/>
      <c r="H125" s="56"/>
      <c r="I125" s="56"/>
    </row>
    <row r="126" spans="1:9" x14ac:dyDescent="0.3">
      <c r="A126" s="56"/>
      <c r="B126" s="56"/>
      <c r="C126" s="56"/>
      <c r="D126" s="56"/>
      <c r="E126" s="56"/>
      <c r="F126" s="56"/>
      <c r="G126" s="56"/>
      <c r="H126" s="56"/>
      <c r="I126" s="56"/>
    </row>
    <row r="129" spans="2:23" ht="25.8" x14ac:dyDescent="0.5">
      <c r="B129" s="55" t="s">
        <v>112</v>
      </c>
    </row>
    <row r="131" spans="2:23" ht="25.8" x14ac:dyDescent="0.5">
      <c r="B131" s="52" t="s">
        <v>30</v>
      </c>
    </row>
    <row r="133" spans="2:23" x14ac:dyDescent="0.3">
      <c r="B133" s="7" t="s">
        <v>83</v>
      </c>
      <c r="C133" s="10" t="s">
        <v>30</v>
      </c>
      <c r="D133" s="10" t="s">
        <v>84</v>
      </c>
      <c r="F133" s="7" t="s">
        <v>83</v>
      </c>
      <c r="G133" s="10" t="s">
        <v>84</v>
      </c>
      <c r="K133">
        <v>180.7</v>
      </c>
      <c r="L133">
        <v>178.7</v>
      </c>
      <c r="M133">
        <v>180.4</v>
      </c>
      <c r="N133" t="s">
        <v>32</v>
      </c>
      <c r="O133">
        <v>176.7</v>
      </c>
      <c r="P133">
        <v>170.3</v>
      </c>
      <c r="Q133">
        <v>178.2</v>
      </c>
      <c r="R133">
        <v>165.5</v>
      </c>
      <c r="S133">
        <v>168</v>
      </c>
      <c r="T133">
        <v>172.6</v>
      </c>
      <c r="U133">
        <v>169.5</v>
      </c>
      <c r="V133">
        <v>171</v>
      </c>
      <c r="W133">
        <v>173.6</v>
      </c>
    </row>
    <row r="134" spans="2:23" x14ac:dyDescent="0.3">
      <c r="B134" t="s">
        <v>3</v>
      </c>
      <c r="C134">
        <v>2000.8</v>
      </c>
      <c r="D134" s="2">
        <f>C134/$C$147</f>
        <v>7.3414962591686131E-2</v>
      </c>
      <c r="F134" t="s">
        <v>4</v>
      </c>
      <c r="G134" s="2">
        <v>9.1687979070424488E-2</v>
      </c>
      <c r="K134">
        <v>182</v>
      </c>
      <c r="L134">
        <v>180.3</v>
      </c>
      <c r="M134">
        <v>181.7</v>
      </c>
      <c r="N134" t="s">
        <v>32</v>
      </c>
      <c r="O134">
        <v>179.6</v>
      </c>
      <c r="P134">
        <v>171.3</v>
      </c>
      <c r="Q134">
        <v>178.8</v>
      </c>
      <c r="R134">
        <v>166.3</v>
      </c>
      <c r="S134">
        <v>168.6</v>
      </c>
      <c r="T134">
        <v>174.7</v>
      </c>
      <c r="U134">
        <v>169.7</v>
      </c>
      <c r="V134">
        <v>171.8</v>
      </c>
      <c r="W134">
        <v>174.3</v>
      </c>
    </row>
    <row r="135" spans="2:23" x14ac:dyDescent="0.3">
      <c r="B135" t="s">
        <v>4</v>
      </c>
      <c r="C135">
        <v>2498.8000000000002</v>
      </c>
      <c r="D135" s="2">
        <f t="shared" ref="D135:D146" si="6">C135/$C$147</f>
        <v>9.1687979070424488E-2</v>
      </c>
      <c r="F135" t="s">
        <v>5</v>
      </c>
      <c r="G135" s="2">
        <v>9.0282644670553636E-2</v>
      </c>
      <c r="K135">
        <v>183.2</v>
      </c>
      <c r="L135">
        <v>181.7</v>
      </c>
      <c r="M135">
        <v>183</v>
      </c>
      <c r="N135" t="s">
        <v>32</v>
      </c>
      <c r="O135">
        <v>179.1</v>
      </c>
      <c r="P135">
        <v>172.3</v>
      </c>
      <c r="Q135">
        <v>179.4</v>
      </c>
      <c r="R135">
        <v>166.6</v>
      </c>
      <c r="S135">
        <v>169.3</v>
      </c>
      <c r="T135">
        <v>175.7</v>
      </c>
      <c r="U135">
        <v>171.1</v>
      </c>
      <c r="V135">
        <v>172.6</v>
      </c>
      <c r="W135">
        <v>175.3</v>
      </c>
    </row>
    <row r="136" spans="2:23" x14ac:dyDescent="0.3">
      <c r="B136" t="s">
        <v>5</v>
      </c>
      <c r="C136">
        <v>2100.4000000000005</v>
      </c>
      <c r="D136" s="2">
        <f t="shared" si="6"/>
        <v>7.7069565887433814E-2</v>
      </c>
      <c r="F136" t="s">
        <v>6</v>
      </c>
      <c r="G136" s="2">
        <v>8.4140269251797017E-2</v>
      </c>
      <c r="K136">
        <v>184.7</v>
      </c>
      <c r="L136">
        <v>183.3</v>
      </c>
      <c r="M136">
        <v>184.5</v>
      </c>
      <c r="N136" t="s">
        <v>32</v>
      </c>
      <c r="O136">
        <v>179.7</v>
      </c>
      <c r="P136">
        <v>173.6</v>
      </c>
      <c r="Q136">
        <v>180.2</v>
      </c>
      <c r="R136">
        <v>166.9</v>
      </c>
      <c r="S136">
        <v>170</v>
      </c>
      <c r="T136">
        <v>176.2</v>
      </c>
      <c r="U136">
        <v>170.8</v>
      </c>
      <c r="V136">
        <v>173.1</v>
      </c>
      <c r="W136">
        <v>176.4</v>
      </c>
    </row>
    <row r="137" spans="2:23" x14ac:dyDescent="0.3">
      <c r="B137" t="s">
        <v>6</v>
      </c>
      <c r="C137">
        <v>2071.8000000000002</v>
      </c>
      <c r="D137" s="2">
        <f t="shared" si="6"/>
        <v>7.6020151688052442E-2</v>
      </c>
      <c r="F137" t="s">
        <v>7</v>
      </c>
      <c r="G137" s="2">
        <v>8.2334983286427688E-2</v>
      </c>
      <c r="K137">
        <v>186.1</v>
      </c>
      <c r="L137">
        <v>184.4</v>
      </c>
      <c r="M137">
        <v>185.9</v>
      </c>
      <c r="N137" t="s">
        <v>32</v>
      </c>
      <c r="O137">
        <v>180.8</v>
      </c>
      <c r="P137">
        <v>174.4</v>
      </c>
      <c r="Q137">
        <v>181.2</v>
      </c>
      <c r="R137">
        <v>167.4</v>
      </c>
      <c r="S137">
        <v>170.6</v>
      </c>
      <c r="T137">
        <v>176.5</v>
      </c>
      <c r="U137">
        <v>172</v>
      </c>
      <c r="V137">
        <v>173.9</v>
      </c>
      <c r="W137">
        <v>177.9</v>
      </c>
    </row>
    <row r="138" spans="2:23" x14ac:dyDescent="0.3">
      <c r="B138" t="s">
        <v>7</v>
      </c>
      <c r="C138">
        <v>2293.1000000000004</v>
      </c>
      <c r="D138" s="2">
        <f t="shared" si="6"/>
        <v>8.4140269251797017E-2</v>
      </c>
      <c r="F138" t="s">
        <v>8</v>
      </c>
      <c r="G138" s="2">
        <v>7.7674997156307657E-2</v>
      </c>
      <c r="K138">
        <v>187.2</v>
      </c>
      <c r="L138">
        <v>185.2</v>
      </c>
      <c r="M138">
        <v>186.9</v>
      </c>
      <c r="N138" t="s">
        <v>32</v>
      </c>
      <c r="O138">
        <v>181.9</v>
      </c>
      <c r="P138">
        <v>175.5</v>
      </c>
      <c r="Q138">
        <v>182.3</v>
      </c>
      <c r="R138">
        <v>167.5</v>
      </c>
      <c r="S138">
        <v>170.8</v>
      </c>
      <c r="T138">
        <v>176.9</v>
      </c>
      <c r="U138">
        <v>173.4</v>
      </c>
      <c r="V138">
        <v>174.6</v>
      </c>
      <c r="W138">
        <v>177.8</v>
      </c>
    </row>
    <row r="139" spans="2:23" x14ac:dyDescent="0.3">
      <c r="B139" t="s">
        <v>8</v>
      </c>
      <c r="C139">
        <v>1980.1</v>
      </c>
      <c r="D139" s="2">
        <f t="shared" si="6"/>
        <v>7.2655421545280735E-2</v>
      </c>
      <c r="F139" t="s">
        <v>9</v>
      </c>
      <c r="G139" s="2">
        <v>7.7069565887433814E-2</v>
      </c>
      <c r="K139">
        <v>188.1</v>
      </c>
      <c r="L139">
        <v>185.9</v>
      </c>
      <c r="M139">
        <v>187.8</v>
      </c>
      <c r="N139" t="s">
        <v>32</v>
      </c>
      <c r="O139">
        <v>182.8</v>
      </c>
      <c r="P139">
        <v>176.4</v>
      </c>
      <c r="Q139">
        <v>183.5</v>
      </c>
      <c r="R139">
        <v>167.8</v>
      </c>
      <c r="S139">
        <v>171.2</v>
      </c>
      <c r="T139">
        <v>177.3</v>
      </c>
      <c r="U139">
        <v>175.7</v>
      </c>
      <c r="V139">
        <v>175.5</v>
      </c>
      <c r="W139">
        <v>177.1</v>
      </c>
    </row>
    <row r="140" spans="2:23" x14ac:dyDescent="0.3">
      <c r="B140" t="s">
        <v>9</v>
      </c>
      <c r="C140">
        <v>1908.7000000000003</v>
      </c>
      <c r="D140" s="2">
        <f t="shared" si="6"/>
        <v>7.0035555327244772E-2</v>
      </c>
      <c r="F140" t="s">
        <v>10</v>
      </c>
      <c r="G140" s="2">
        <v>7.7040211644094456E-2</v>
      </c>
      <c r="K140">
        <v>189</v>
      </c>
      <c r="L140">
        <v>186.3</v>
      </c>
      <c r="M140">
        <v>188.6</v>
      </c>
      <c r="N140" t="s">
        <v>32</v>
      </c>
      <c r="O140">
        <v>183.2</v>
      </c>
      <c r="P140">
        <v>177.2</v>
      </c>
      <c r="Q140">
        <v>184.7</v>
      </c>
      <c r="R140">
        <v>168.2</v>
      </c>
      <c r="S140">
        <v>171.8</v>
      </c>
      <c r="T140">
        <v>177.8</v>
      </c>
      <c r="U140">
        <v>178.4</v>
      </c>
      <c r="V140">
        <v>176.5</v>
      </c>
      <c r="W140">
        <v>177.8</v>
      </c>
    </row>
    <row r="141" spans="2:23" x14ac:dyDescent="0.3">
      <c r="B141" t="s">
        <v>10</v>
      </c>
      <c r="C141">
        <v>2034.8000000000002</v>
      </c>
      <c r="D141" s="2">
        <f t="shared" si="6"/>
        <v>7.4662517933608036E-2</v>
      </c>
      <c r="F141" t="s">
        <v>11</v>
      </c>
      <c r="G141" s="2">
        <v>7.6020151688052442E-2</v>
      </c>
      <c r="K141">
        <v>190</v>
      </c>
      <c r="L141">
        <v>187</v>
      </c>
      <c r="M141">
        <v>189.6</v>
      </c>
      <c r="N141" t="s">
        <v>32</v>
      </c>
      <c r="O141">
        <v>181.6</v>
      </c>
      <c r="P141">
        <v>178.6</v>
      </c>
      <c r="Q141">
        <v>186.6</v>
      </c>
      <c r="R141">
        <v>169</v>
      </c>
      <c r="S141">
        <v>172.8</v>
      </c>
      <c r="T141">
        <v>178.5</v>
      </c>
      <c r="U141">
        <v>180.7</v>
      </c>
      <c r="V141">
        <v>177.9</v>
      </c>
      <c r="W141">
        <v>178</v>
      </c>
    </row>
    <row r="142" spans="2:23" x14ac:dyDescent="0.3">
      <c r="B142" t="s">
        <v>11</v>
      </c>
      <c r="C142">
        <v>1443.9</v>
      </c>
      <c r="D142" s="2">
        <f t="shared" si="6"/>
        <v>5.2980739947088969E-2</v>
      </c>
      <c r="F142" t="s">
        <v>12</v>
      </c>
      <c r="G142" s="2">
        <v>7.4662517933608036E-2</v>
      </c>
      <c r="K142">
        <v>190</v>
      </c>
      <c r="L142">
        <v>187</v>
      </c>
      <c r="M142">
        <v>189.6</v>
      </c>
      <c r="N142" t="s">
        <v>32</v>
      </c>
      <c r="O142">
        <v>181.4</v>
      </c>
      <c r="P142">
        <v>178.6</v>
      </c>
      <c r="Q142">
        <v>186.6</v>
      </c>
      <c r="R142">
        <v>169</v>
      </c>
      <c r="S142">
        <v>172.8</v>
      </c>
      <c r="T142">
        <v>178.5</v>
      </c>
      <c r="U142">
        <v>180.7</v>
      </c>
      <c r="V142">
        <v>177.9</v>
      </c>
      <c r="W142">
        <v>178</v>
      </c>
    </row>
    <row r="143" spans="2:23" x14ac:dyDescent="0.3">
      <c r="B143" t="s">
        <v>12</v>
      </c>
      <c r="C143">
        <v>2460.5</v>
      </c>
      <c r="D143" s="2">
        <f t="shared" si="6"/>
        <v>9.0282644670553636E-2</v>
      </c>
      <c r="F143" t="s">
        <v>3</v>
      </c>
      <c r="G143" s="2">
        <v>7.3414962591686131E-2</v>
      </c>
      <c r="K143">
        <v>190.7</v>
      </c>
      <c r="L143">
        <v>187.3</v>
      </c>
      <c r="M143">
        <v>190.2</v>
      </c>
      <c r="N143" t="s">
        <v>48</v>
      </c>
      <c r="O143">
        <v>181.5</v>
      </c>
      <c r="P143">
        <v>179.1</v>
      </c>
      <c r="Q143">
        <v>187.2</v>
      </c>
      <c r="R143">
        <v>169.4</v>
      </c>
      <c r="S143">
        <v>173.2</v>
      </c>
      <c r="T143">
        <v>179.4</v>
      </c>
      <c r="U143">
        <v>183.8</v>
      </c>
      <c r="V143">
        <v>178.9</v>
      </c>
      <c r="W143">
        <v>178.8</v>
      </c>
    </row>
    <row r="144" spans="2:23" x14ac:dyDescent="0.3">
      <c r="B144" t="s">
        <v>13</v>
      </c>
      <c r="C144">
        <v>2116.9</v>
      </c>
      <c r="D144" s="2">
        <f t="shared" si="6"/>
        <v>7.7674997156307657E-2</v>
      </c>
      <c r="F144" t="s">
        <v>13</v>
      </c>
      <c r="G144" s="2">
        <v>7.2655421545280735E-2</v>
      </c>
      <c r="K144">
        <v>191.2</v>
      </c>
      <c r="L144">
        <v>187.9</v>
      </c>
      <c r="M144">
        <v>190.8</v>
      </c>
      <c r="N144" t="s">
        <v>48</v>
      </c>
      <c r="O144">
        <v>182.5</v>
      </c>
      <c r="P144">
        <v>179.8</v>
      </c>
      <c r="Q144">
        <v>187.8</v>
      </c>
      <c r="R144">
        <v>169.7</v>
      </c>
      <c r="S144">
        <v>173.8</v>
      </c>
      <c r="T144">
        <v>180.3</v>
      </c>
      <c r="U144">
        <v>184.9</v>
      </c>
      <c r="V144">
        <v>179.5</v>
      </c>
      <c r="W144">
        <v>179.8</v>
      </c>
    </row>
    <row r="145" spans="2:7" x14ac:dyDescent="0.3">
      <c r="B145" t="s">
        <v>14</v>
      </c>
      <c r="C145">
        <v>2243.9</v>
      </c>
      <c r="D145" s="2">
        <f t="shared" si="6"/>
        <v>8.2334983286427688E-2</v>
      </c>
      <c r="F145" t="s">
        <v>14</v>
      </c>
      <c r="G145" s="2">
        <v>7.0035555327244772E-2</v>
      </c>
    </row>
    <row r="146" spans="2:7" x14ac:dyDescent="0.3">
      <c r="B146" t="s">
        <v>15</v>
      </c>
      <c r="C146">
        <v>2099.6</v>
      </c>
      <c r="D146" s="2">
        <f t="shared" si="6"/>
        <v>7.7040211644094456E-2</v>
      </c>
      <c r="F146" t="s">
        <v>15</v>
      </c>
      <c r="G146" s="2">
        <v>5.2980739947088969E-2</v>
      </c>
    </row>
    <row r="147" spans="2:7" x14ac:dyDescent="0.3">
      <c r="C147" s="34">
        <f>SUM(C134:C146)</f>
        <v>27253.300000000007</v>
      </c>
    </row>
    <row r="155" spans="2:7" ht="38.4" x14ac:dyDescent="1.35">
      <c r="F155" s="39" t="s">
        <v>85</v>
      </c>
    </row>
    <row r="168" spans="2:2" ht="25.8" x14ac:dyDescent="0.5">
      <c r="B168" s="23" t="s">
        <v>107</v>
      </c>
    </row>
    <row r="169" spans="2:2" ht="25.8" x14ac:dyDescent="0.5">
      <c r="B169" s="23" t="s">
        <v>106</v>
      </c>
    </row>
    <row r="175" spans="2:2" ht="25.8" x14ac:dyDescent="0.5">
      <c r="B175" s="53" t="s">
        <v>33</v>
      </c>
    </row>
    <row r="177" spans="2:7" x14ac:dyDescent="0.3">
      <c r="B177" s="36" t="s">
        <v>83</v>
      </c>
      <c r="C177" s="37" t="s">
        <v>33</v>
      </c>
      <c r="D177" s="35" t="s">
        <v>84</v>
      </c>
      <c r="F177" s="36" t="s">
        <v>83</v>
      </c>
      <c r="G177" s="35" t="s">
        <v>84</v>
      </c>
    </row>
    <row r="178" spans="2:7" x14ac:dyDescent="0.3">
      <c r="B178" s="24" t="s">
        <v>3</v>
      </c>
      <c r="C178" s="38">
        <v>2021</v>
      </c>
      <c r="D178" s="2">
        <f>C178/$C$191</f>
        <v>7.300957686235833E-2</v>
      </c>
      <c r="F178" s="25" t="s">
        <v>4</v>
      </c>
      <c r="G178" s="2">
        <v>9.3167589672450327E-2</v>
      </c>
    </row>
    <row r="179" spans="2:7" x14ac:dyDescent="0.3">
      <c r="B179" s="25" t="s">
        <v>4</v>
      </c>
      <c r="C179" s="38">
        <v>2579</v>
      </c>
      <c r="D179" s="2">
        <f t="shared" ref="D179:D190" si="7">C179/$C$191</f>
        <v>9.3167589672450327E-2</v>
      </c>
      <c r="F179" s="25" t="s">
        <v>12</v>
      </c>
      <c r="G179" s="2">
        <v>8.6065322076636558E-2</v>
      </c>
    </row>
    <row r="180" spans="2:7" x14ac:dyDescent="0.3">
      <c r="B180" s="24" t="s">
        <v>5</v>
      </c>
      <c r="C180">
        <v>2138.4</v>
      </c>
      <c r="D180" s="2">
        <f t="shared" si="7"/>
        <v>7.7250707156094528E-2</v>
      </c>
      <c r="F180" s="24" t="s">
        <v>9</v>
      </c>
      <c r="G180" s="2">
        <v>8.5205535867173846E-2</v>
      </c>
    </row>
    <row r="181" spans="2:7" x14ac:dyDescent="0.3">
      <c r="B181" s="25" t="s">
        <v>6</v>
      </c>
      <c r="C181">
        <v>2078.4</v>
      </c>
      <c r="D181" s="2">
        <f t="shared" si="7"/>
        <v>7.5083178896944852E-2</v>
      </c>
      <c r="F181" s="25" t="s">
        <v>14</v>
      </c>
      <c r="G181" s="2">
        <v>8.3547376748924332E-2</v>
      </c>
    </row>
    <row r="182" spans="2:7" x14ac:dyDescent="0.3">
      <c r="B182" s="24" t="s">
        <v>7</v>
      </c>
      <c r="C182">
        <v>2127.5</v>
      </c>
      <c r="D182" s="2">
        <f t="shared" si="7"/>
        <v>7.685693952234901E-2</v>
      </c>
      <c r="F182" s="24" t="s">
        <v>15</v>
      </c>
      <c r="G182" s="2">
        <v>7.8403109680542427E-2</v>
      </c>
    </row>
    <row r="183" spans="2:7" x14ac:dyDescent="0.3">
      <c r="B183" s="25" t="s">
        <v>8</v>
      </c>
      <c r="C183">
        <v>2045.6999999999998</v>
      </c>
      <c r="D183" s="2">
        <f t="shared" si="7"/>
        <v>7.3901875995708272E-2</v>
      </c>
      <c r="F183" s="24" t="s">
        <v>5</v>
      </c>
      <c r="G183" s="2">
        <v>7.7250707156094528E-2</v>
      </c>
    </row>
    <row r="184" spans="2:7" x14ac:dyDescent="0.3">
      <c r="B184" s="24" t="s">
        <v>9</v>
      </c>
      <c r="C184">
        <v>2358.6</v>
      </c>
      <c r="D184" s="2">
        <f t="shared" si="7"/>
        <v>8.5205535867173846E-2</v>
      </c>
      <c r="F184" s="24" t="s">
        <v>7</v>
      </c>
      <c r="G184" s="2">
        <v>7.685693952234901E-2</v>
      </c>
    </row>
    <row r="185" spans="2:7" x14ac:dyDescent="0.3">
      <c r="B185" s="25" t="s">
        <v>10</v>
      </c>
      <c r="C185">
        <v>2043.5000000000002</v>
      </c>
      <c r="D185" s="2">
        <f t="shared" si="7"/>
        <v>7.3822399959539459E-2</v>
      </c>
      <c r="F185" s="25" t="s">
        <v>6</v>
      </c>
      <c r="G185" s="2">
        <v>7.5083178896944852E-2</v>
      </c>
    </row>
    <row r="186" spans="2:7" x14ac:dyDescent="0.3">
      <c r="B186" s="24" t="s">
        <v>11</v>
      </c>
      <c r="C186">
        <v>1471.9</v>
      </c>
      <c r="D186" s="2">
        <f t="shared" si="7"/>
        <v>5.3173080744040188E-2</v>
      </c>
      <c r="F186" s="25" t="s">
        <v>8</v>
      </c>
      <c r="G186" s="2">
        <v>7.3901875995708272E-2</v>
      </c>
    </row>
    <row r="187" spans="2:7" x14ac:dyDescent="0.3">
      <c r="B187" s="25" t="s">
        <v>12</v>
      </c>
      <c r="C187">
        <v>2382.4</v>
      </c>
      <c r="D187" s="2">
        <f t="shared" si="7"/>
        <v>8.6065322076636558E-2</v>
      </c>
      <c r="F187" s="25" t="s">
        <v>10</v>
      </c>
      <c r="G187" s="2">
        <v>7.3822399959539459E-2</v>
      </c>
    </row>
    <row r="188" spans="2:7" x14ac:dyDescent="0.3">
      <c r="B188" s="24" t="s">
        <v>13</v>
      </c>
      <c r="C188">
        <v>1951.9000000000003</v>
      </c>
      <c r="D188" s="2">
        <f t="shared" si="7"/>
        <v>7.0513306817237623E-2</v>
      </c>
      <c r="F188" s="24" t="s">
        <v>3</v>
      </c>
      <c r="G188" s="2">
        <v>7.300957686235833E-2</v>
      </c>
    </row>
    <row r="189" spans="2:7" x14ac:dyDescent="0.3">
      <c r="B189" s="25" t="s">
        <v>14</v>
      </c>
      <c r="C189">
        <v>2312.6999999999998</v>
      </c>
      <c r="D189" s="2">
        <f t="shared" si="7"/>
        <v>8.3547376748924332E-2</v>
      </c>
      <c r="F189" s="24" t="s">
        <v>13</v>
      </c>
      <c r="G189" s="2">
        <v>7.0513306817237623E-2</v>
      </c>
    </row>
    <row r="190" spans="2:7" x14ac:dyDescent="0.3">
      <c r="B190" s="24" t="s">
        <v>15</v>
      </c>
      <c r="C190">
        <v>2170.2999999999997</v>
      </c>
      <c r="D190" s="2">
        <f t="shared" si="7"/>
        <v>7.8403109680542427E-2</v>
      </c>
      <c r="F190" s="24" t="s">
        <v>11</v>
      </c>
      <c r="G190" s="2">
        <v>5.3173080744040188E-2</v>
      </c>
    </row>
    <row r="191" spans="2:7" x14ac:dyDescent="0.3">
      <c r="C191" s="38">
        <f>SUM(C178:C190)</f>
        <v>27681.300000000007</v>
      </c>
    </row>
    <row r="202" spans="6:6" ht="38.4" x14ac:dyDescent="1.35">
      <c r="F202" s="39" t="s">
        <v>86</v>
      </c>
    </row>
    <row r="214" spans="2:7" ht="25.8" x14ac:dyDescent="0.5">
      <c r="B214" s="23" t="s">
        <v>108</v>
      </c>
    </row>
    <row r="215" spans="2:7" ht="25.8" x14ac:dyDescent="0.5">
      <c r="B215" s="23" t="s">
        <v>109</v>
      </c>
    </row>
    <row r="222" spans="2:7" ht="25.8" x14ac:dyDescent="0.5">
      <c r="B222" s="54" t="s">
        <v>66</v>
      </c>
    </row>
    <row r="224" spans="2:7" x14ac:dyDescent="0.3">
      <c r="B224" s="36" t="s">
        <v>83</v>
      </c>
      <c r="C224" s="37" t="s">
        <v>33</v>
      </c>
      <c r="D224" s="35" t="s">
        <v>84</v>
      </c>
      <c r="F224" s="36" t="s">
        <v>83</v>
      </c>
      <c r="G224" s="35" t="s">
        <v>84</v>
      </c>
    </row>
    <row r="225" spans="2:7" x14ac:dyDescent="0.3">
      <c r="B225" s="24" t="s">
        <v>3</v>
      </c>
      <c r="C225">
        <v>2007.2</v>
      </c>
      <c r="D225" s="2">
        <f>C225/$C$238</f>
        <v>7.3246652775395674E-2</v>
      </c>
      <c r="F225" s="25" t="s">
        <v>4</v>
      </c>
      <c r="G225" s="2">
        <v>9.2218820361051418E-2</v>
      </c>
    </row>
    <row r="226" spans="2:7" x14ac:dyDescent="0.3">
      <c r="B226" s="25" t="s">
        <v>4</v>
      </c>
      <c r="C226">
        <v>2527.1000000000004</v>
      </c>
      <c r="D226" s="2">
        <f t="shared" ref="D226:D237" si="8">C226/$C$238</f>
        <v>9.2218820361051418E-2</v>
      </c>
      <c r="F226" s="25" t="s">
        <v>12</v>
      </c>
      <c r="G226" s="2">
        <v>8.8843314491320408E-2</v>
      </c>
    </row>
    <row r="227" spans="2:7" x14ac:dyDescent="0.3">
      <c r="B227" s="24" t="s">
        <v>5</v>
      </c>
      <c r="C227">
        <v>2115.1</v>
      </c>
      <c r="D227" s="2">
        <f t="shared" si="8"/>
        <v>7.7184134757492709E-2</v>
      </c>
      <c r="F227" s="25" t="s">
        <v>14</v>
      </c>
      <c r="G227" s="2">
        <v>8.3048391981987574E-2</v>
      </c>
    </row>
    <row r="228" spans="2:7" x14ac:dyDescent="0.3">
      <c r="B228" s="25" t="s">
        <v>6</v>
      </c>
      <c r="C228">
        <v>2074.1</v>
      </c>
      <c r="D228" s="2">
        <f t="shared" si="8"/>
        <v>7.5687964588206535E-2</v>
      </c>
      <c r="F228" s="24" t="s">
        <v>7</v>
      </c>
      <c r="G228" s="2">
        <v>8.1460991924330289E-2</v>
      </c>
    </row>
    <row r="229" spans="2:7" x14ac:dyDescent="0.3">
      <c r="B229" s="24" t="s">
        <v>7</v>
      </c>
      <c r="C229">
        <v>2232.3000000000002</v>
      </c>
      <c r="D229" s="2">
        <f t="shared" si="8"/>
        <v>8.1460991924330289E-2</v>
      </c>
      <c r="F229" s="24" t="s">
        <v>15</v>
      </c>
      <c r="G229" s="2">
        <v>7.756365109311654E-2</v>
      </c>
    </row>
    <row r="230" spans="2:7" x14ac:dyDescent="0.3">
      <c r="B230" s="25" t="s">
        <v>8</v>
      </c>
      <c r="C230">
        <v>2010.8</v>
      </c>
      <c r="D230" s="2">
        <f t="shared" si="8"/>
        <v>7.3378023814650056E-2</v>
      </c>
      <c r="F230" s="24" t="s">
        <v>5</v>
      </c>
      <c r="G230" s="2">
        <v>7.7184134757492709E-2</v>
      </c>
    </row>
    <row r="231" spans="2:7" x14ac:dyDescent="0.3">
      <c r="B231" s="24" t="s">
        <v>9</v>
      </c>
      <c r="C231">
        <v>2061.4</v>
      </c>
      <c r="D231" s="2">
        <f t="shared" si="8"/>
        <v>7.5224516755281301E-2</v>
      </c>
      <c r="F231" s="25" t="s">
        <v>6</v>
      </c>
      <c r="G231" s="2">
        <v>7.5687964588206535E-2</v>
      </c>
    </row>
    <row r="232" spans="2:7" x14ac:dyDescent="0.3">
      <c r="B232" s="25" t="s">
        <v>10</v>
      </c>
      <c r="C232" s="38">
        <v>2038</v>
      </c>
      <c r="D232" s="2">
        <f t="shared" si="8"/>
        <v>7.4370605000127724E-2</v>
      </c>
      <c r="F232" s="24" t="s">
        <v>9</v>
      </c>
      <c r="G232" s="2">
        <v>7.5224516755281301E-2</v>
      </c>
    </row>
    <row r="233" spans="2:7" x14ac:dyDescent="0.3">
      <c r="B233" s="24" t="s">
        <v>11</v>
      </c>
      <c r="C233">
        <v>1453.3</v>
      </c>
      <c r="D233" s="2">
        <f t="shared" si="8"/>
        <v>5.3033758707892842E-2</v>
      </c>
      <c r="F233" s="24" t="s">
        <v>13</v>
      </c>
      <c r="G233" s="2">
        <v>7.4739173749147E-2</v>
      </c>
    </row>
    <row r="234" spans="2:7" x14ac:dyDescent="0.3">
      <c r="B234" s="25" t="s">
        <v>12</v>
      </c>
      <c r="C234">
        <v>2434.6000000000004</v>
      </c>
      <c r="D234" s="2">
        <f t="shared" si="8"/>
        <v>8.8843314491320408E-2</v>
      </c>
      <c r="F234" s="25" t="s">
        <v>10</v>
      </c>
      <c r="G234" s="2">
        <v>7.4370605000127724E-2</v>
      </c>
    </row>
    <row r="235" spans="2:7" x14ac:dyDescent="0.3">
      <c r="B235" s="24" t="s">
        <v>13</v>
      </c>
      <c r="C235">
        <v>2048.1</v>
      </c>
      <c r="D235" s="2">
        <f t="shared" si="8"/>
        <v>7.4739173749147E-2</v>
      </c>
      <c r="F235" s="25" t="s">
        <v>8</v>
      </c>
      <c r="G235" s="2">
        <v>7.3378023814650056E-2</v>
      </c>
    </row>
    <row r="236" spans="2:7" x14ac:dyDescent="0.3">
      <c r="B236" s="25" t="s">
        <v>14</v>
      </c>
      <c r="C236">
        <v>2275.8000000000002</v>
      </c>
      <c r="D236" s="2">
        <f t="shared" si="8"/>
        <v>8.3048391981987574E-2</v>
      </c>
      <c r="F236" s="24" t="s">
        <v>3</v>
      </c>
      <c r="G236" s="2">
        <v>7.3246652775395674E-2</v>
      </c>
    </row>
    <row r="237" spans="2:7" x14ac:dyDescent="0.3">
      <c r="B237" s="24" t="s">
        <v>15</v>
      </c>
      <c r="C237">
        <v>2125.5000000000005</v>
      </c>
      <c r="D237" s="2">
        <f t="shared" si="8"/>
        <v>7.756365109311654E-2</v>
      </c>
      <c r="F237" s="24" t="s">
        <v>11</v>
      </c>
      <c r="G237" s="2">
        <v>5.3033758707892842E-2</v>
      </c>
    </row>
    <row r="238" spans="2:7" x14ac:dyDescent="0.3">
      <c r="C238">
        <f>SUM(C225:C237)</f>
        <v>27403.3</v>
      </c>
    </row>
    <row r="249" spans="6:6" ht="38.4" x14ac:dyDescent="1.35">
      <c r="F249" s="39" t="s">
        <v>87</v>
      </c>
    </row>
    <row r="264" spans="2:2" ht="25.8" x14ac:dyDescent="0.5">
      <c r="B264" s="23" t="s">
        <v>110</v>
      </c>
    </row>
    <row r="265" spans="2:2" ht="25.8" x14ac:dyDescent="0.5">
      <c r="B265" s="23" t="s">
        <v>111</v>
      </c>
    </row>
  </sheetData>
  <autoFilter ref="F224:G237" xr:uid="{CD7DCCCE-5BA3-4EDB-AC9A-C0B35D432486}">
    <sortState xmlns:xlrd2="http://schemas.microsoft.com/office/spreadsheetml/2017/richdata2" ref="F225:G237">
      <sortCondition descending="1" ref="G224:G237"/>
    </sortState>
  </autoFilter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20B7-92E6-4140-9FB7-FFF0F24CE9BA}">
  <dimension ref="C5:P41"/>
  <sheetViews>
    <sheetView topLeftCell="D7" zoomScale="70" zoomScaleNormal="70" workbookViewId="0">
      <selection activeCell="L37" sqref="L37"/>
    </sheetView>
  </sheetViews>
  <sheetFormatPr defaultRowHeight="14.4" x14ac:dyDescent="0.3"/>
  <cols>
    <col min="3" max="3" width="31.33203125" bestFit="1" customWidth="1"/>
    <col min="4" max="4" width="31.33203125" customWidth="1"/>
    <col min="7" max="7" width="11.21875" bestFit="1" customWidth="1"/>
    <col min="11" max="11" width="22.21875" bestFit="1" customWidth="1"/>
    <col min="12" max="13" width="13.21875" bestFit="1" customWidth="1"/>
    <col min="15" max="15" width="15.77734375" bestFit="1" customWidth="1"/>
    <col min="16" max="16" width="13.33203125" bestFit="1" customWidth="1"/>
  </cols>
  <sheetData>
    <row r="5" spans="3:16" ht="25.8" x14ac:dyDescent="0.5">
      <c r="K5" s="52" t="s">
        <v>30</v>
      </c>
    </row>
    <row r="6" spans="3:16" x14ac:dyDescent="0.3">
      <c r="C6" s="8" t="s">
        <v>0</v>
      </c>
      <c r="D6" s="9" t="s">
        <v>59</v>
      </c>
      <c r="E6" s="10" t="s">
        <v>30</v>
      </c>
      <c r="F6" s="10" t="s">
        <v>33</v>
      </c>
      <c r="G6" s="10" t="s">
        <v>34</v>
      </c>
      <c r="K6" s="9" t="s">
        <v>59</v>
      </c>
      <c r="L6" s="10" t="s">
        <v>30</v>
      </c>
      <c r="M6" s="7" t="s">
        <v>65</v>
      </c>
      <c r="O6" s="9" t="s">
        <v>59</v>
      </c>
      <c r="P6" s="11" t="s">
        <v>65</v>
      </c>
    </row>
    <row r="7" spans="3:16" x14ac:dyDescent="0.3">
      <c r="C7" s="6" t="s">
        <v>3</v>
      </c>
      <c r="D7" s="5" t="s">
        <v>60</v>
      </c>
      <c r="E7" s="12">
        <v>173.2</v>
      </c>
      <c r="F7" s="12">
        <v>174.7</v>
      </c>
      <c r="G7" s="12">
        <v>173.7</v>
      </c>
      <c r="K7" s="5" t="s">
        <v>60</v>
      </c>
      <c r="L7" s="12">
        <f>SUMIF($D$7:$D$34,K7,$E$7:$E$34)</f>
        <v>2290.7000000000007</v>
      </c>
      <c r="M7" s="13">
        <f>L7/$L$15</f>
        <v>0.50918022583800115</v>
      </c>
      <c r="O7" s="5" t="s">
        <v>60</v>
      </c>
      <c r="P7" s="13">
        <v>0.50918022583800104</v>
      </c>
    </row>
    <row r="8" spans="3:16" x14ac:dyDescent="0.3">
      <c r="C8" s="6" t="s">
        <v>4</v>
      </c>
      <c r="D8" s="5" t="s">
        <v>60</v>
      </c>
      <c r="E8" s="12">
        <v>211.5</v>
      </c>
      <c r="F8" s="12">
        <v>219.4</v>
      </c>
      <c r="G8" s="12">
        <v>214.3</v>
      </c>
      <c r="K8" s="5" t="s">
        <v>61</v>
      </c>
      <c r="L8" s="12">
        <f t="shared" ref="L8:L14" si="0">SUMIF($D$7:$D$34,K8,$E$7:$E$34)</f>
        <v>564.29999999999995</v>
      </c>
      <c r="M8" s="13">
        <f>L8/$L$15</f>
        <v>0.12543344891971187</v>
      </c>
      <c r="O8" s="5" t="s">
        <v>61</v>
      </c>
      <c r="P8" s="13">
        <v>0.12543344891971187</v>
      </c>
    </row>
    <row r="9" spans="3:16" x14ac:dyDescent="0.3">
      <c r="C9" s="6" t="s">
        <v>5</v>
      </c>
      <c r="D9" s="5" t="s">
        <v>60</v>
      </c>
      <c r="E9" s="12">
        <v>171</v>
      </c>
      <c r="F9" s="12">
        <v>176.7</v>
      </c>
      <c r="G9" s="12">
        <v>173.2</v>
      </c>
      <c r="K9" s="5" t="s">
        <v>17</v>
      </c>
      <c r="L9" s="12">
        <f t="shared" si="0"/>
        <v>569.90000000000009</v>
      </c>
      <c r="M9" s="13">
        <f t="shared" ref="M9:M14" si="1">L9/$L$15</f>
        <v>0.1266782253045256</v>
      </c>
      <c r="O9" s="5" t="s">
        <v>17</v>
      </c>
      <c r="P9" s="13">
        <v>0.1266782253045256</v>
      </c>
    </row>
    <row r="10" spans="3:16" x14ac:dyDescent="0.3">
      <c r="C10" s="6" t="s">
        <v>6</v>
      </c>
      <c r="D10" s="5" t="s">
        <v>60</v>
      </c>
      <c r="E10" s="12">
        <v>179.6</v>
      </c>
      <c r="F10" s="12">
        <v>179.4</v>
      </c>
      <c r="G10" s="12">
        <v>179.5</v>
      </c>
      <c r="K10" s="5" t="s">
        <v>20</v>
      </c>
      <c r="L10" s="12">
        <f t="shared" si="0"/>
        <v>179.8</v>
      </c>
      <c r="M10" s="13">
        <f t="shared" si="1"/>
        <v>3.9966213212412185E-2</v>
      </c>
      <c r="O10" s="5" t="s">
        <v>20</v>
      </c>
      <c r="P10" s="13">
        <v>3.9966213212412185E-2</v>
      </c>
    </row>
    <row r="11" spans="3:16" x14ac:dyDescent="0.3">
      <c r="C11" s="6" t="s">
        <v>7</v>
      </c>
      <c r="D11" s="5" t="s">
        <v>60</v>
      </c>
      <c r="E11" s="12">
        <v>173.3</v>
      </c>
      <c r="F11" s="12">
        <v>164.4</v>
      </c>
      <c r="G11" s="12">
        <v>170</v>
      </c>
      <c r="K11" s="5" t="s">
        <v>63</v>
      </c>
      <c r="L11" s="12">
        <f t="shared" si="0"/>
        <v>182.5</v>
      </c>
      <c r="M11" s="13">
        <f t="shared" si="1"/>
        <v>4.056637325509023E-2</v>
      </c>
      <c r="O11" s="5" t="s">
        <v>63</v>
      </c>
      <c r="P11" s="13">
        <v>4.056637325509023E-2</v>
      </c>
    </row>
    <row r="12" spans="3:16" x14ac:dyDescent="0.3">
      <c r="C12" s="6" t="s">
        <v>8</v>
      </c>
      <c r="D12" s="5" t="s">
        <v>60</v>
      </c>
      <c r="E12" s="12">
        <v>169</v>
      </c>
      <c r="F12" s="12">
        <v>175.8</v>
      </c>
      <c r="G12" s="12">
        <v>172.2</v>
      </c>
      <c r="K12" s="5" t="s">
        <v>64</v>
      </c>
      <c r="L12" s="12">
        <f t="shared" si="0"/>
        <v>187.8</v>
      </c>
      <c r="M12" s="13">
        <f t="shared" si="1"/>
        <v>4.1744465190717506E-2</v>
      </c>
      <c r="O12" s="5" t="s">
        <v>64</v>
      </c>
      <c r="P12" s="13">
        <v>4.1744465190717506E-2</v>
      </c>
    </row>
    <row r="13" spans="3:16" x14ac:dyDescent="0.3">
      <c r="C13" s="6" t="s">
        <v>9</v>
      </c>
      <c r="D13" s="5" t="s">
        <v>60</v>
      </c>
      <c r="E13" s="12">
        <v>148.69999999999999</v>
      </c>
      <c r="F13" s="12">
        <v>185</v>
      </c>
      <c r="G13" s="12">
        <v>161</v>
      </c>
      <c r="K13" s="5" t="s">
        <v>62</v>
      </c>
      <c r="L13" s="12">
        <f t="shared" si="0"/>
        <v>169.7</v>
      </c>
      <c r="M13" s="13">
        <f t="shared" si="1"/>
        <v>3.7721170089801706E-2</v>
      </c>
      <c r="O13" s="5" t="s">
        <v>62</v>
      </c>
      <c r="P13" s="13">
        <v>3.7721170089801706E-2</v>
      </c>
    </row>
    <row r="14" spans="3:16" x14ac:dyDescent="0.3">
      <c r="C14" s="6" t="s">
        <v>10</v>
      </c>
      <c r="D14" s="5" t="s">
        <v>60</v>
      </c>
      <c r="E14" s="12">
        <v>174.9</v>
      </c>
      <c r="F14" s="12">
        <v>176.9</v>
      </c>
      <c r="G14" s="12">
        <v>175.6</v>
      </c>
      <c r="K14" s="5" t="s">
        <v>26</v>
      </c>
      <c r="L14" s="12">
        <f t="shared" si="0"/>
        <v>354.1</v>
      </c>
      <c r="M14" s="13">
        <f t="shared" si="1"/>
        <v>7.8709878189739457E-2</v>
      </c>
      <c r="O14" s="5" t="s">
        <v>26</v>
      </c>
      <c r="P14" s="13">
        <v>7.8709878189739457E-2</v>
      </c>
    </row>
    <row r="15" spans="3:16" x14ac:dyDescent="0.3">
      <c r="C15" s="6" t="s">
        <v>11</v>
      </c>
      <c r="D15" s="5" t="s">
        <v>60</v>
      </c>
      <c r="E15" s="12">
        <v>121.9</v>
      </c>
      <c r="F15" s="12">
        <v>124.2</v>
      </c>
      <c r="G15" s="12">
        <v>122.7</v>
      </c>
      <c r="L15">
        <f>SUM(L7:L14)</f>
        <v>4498.800000000002</v>
      </c>
    </row>
    <row r="16" spans="3:16" x14ac:dyDescent="0.3">
      <c r="C16" s="6" t="s">
        <v>12</v>
      </c>
      <c r="D16" s="5" t="s">
        <v>60</v>
      </c>
      <c r="E16" s="12">
        <v>221</v>
      </c>
      <c r="F16" s="12">
        <v>211.9</v>
      </c>
      <c r="G16" s="12">
        <v>218</v>
      </c>
    </row>
    <row r="17" spans="3:16" x14ac:dyDescent="0.3">
      <c r="C17" s="6"/>
      <c r="D17" s="5"/>
      <c r="E17" s="12"/>
      <c r="F17" s="12"/>
      <c r="G17" s="12"/>
    </row>
    <row r="18" spans="3:16" ht="25.8" x14ac:dyDescent="0.5">
      <c r="C18" s="6"/>
      <c r="D18" s="5"/>
      <c r="E18" s="12"/>
      <c r="F18" s="12"/>
      <c r="G18" s="12"/>
      <c r="K18" s="53" t="s">
        <v>33</v>
      </c>
    </row>
    <row r="19" spans="3:16" x14ac:dyDescent="0.3">
      <c r="C19" s="6" t="s">
        <v>13</v>
      </c>
      <c r="D19" s="5" t="s">
        <v>60</v>
      </c>
      <c r="E19" s="12">
        <v>178.7</v>
      </c>
      <c r="F19" s="12">
        <v>165.9</v>
      </c>
      <c r="G19" s="12">
        <v>173.4</v>
      </c>
    </row>
    <row r="20" spans="3:16" x14ac:dyDescent="0.3">
      <c r="C20" s="6" t="s">
        <v>14</v>
      </c>
      <c r="D20" s="5" t="s">
        <v>60</v>
      </c>
      <c r="E20" s="12">
        <v>191.1</v>
      </c>
      <c r="F20" s="12">
        <v>197.7</v>
      </c>
      <c r="G20" s="12">
        <v>194.2</v>
      </c>
      <c r="K20" s="9" t="s">
        <v>59</v>
      </c>
      <c r="L20" s="10" t="s">
        <v>33</v>
      </c>
      <c r="M20" s="7" t="s">
        <v>65</v>
      </c>
      <c r="O20" s="9" t="s">
        <v>59</v>
      </c>
      <c r="P20" s="7" t="s">
        <v>65</v>
      </c>
    </row>
    <row r="21" spans="3:16" x14ac:dyDescent="0.3">
      <c r="C21" s="6" t="s">
        <v>15</v>
      </c>
      <c r="D21" s="5" t="s">
        <v>60</v>
      </c>
      <c r="E21" s="12">
        <v>176.8</v>
      </c>
      <c r="F21" s="12">
        <v>183.1</v>
      </c>
      <c r="G21" s="12">
        <v>179.1</v>
      </c>
      <c r="K21" s="5" t="s">
        <v>60</v>
      </c>
      <c r="L21" s="12">
        <f>SUMIF($D$7:$D$34,K21,$F$7:$F$34)</f>
        <v>2335.1</v>
      </c>
      <c r="M21" s="13">
        <f>L21/$L$29</f>
        <v>0.50315671529229244</v>
      </c>
      <c r="O21" s="5" t="s">
        <v>60</v>
      </c>
      <c r="P21" s="13">
        <v>0.503156715292292</v>
      </c>
    </row>
    <row r="22" spans="3:16" x14ac:dyDescent="0.3">
      <c r="C22" s="6" t="s">
        <v>16</v>
      </c>
      <c r="D22" s="5" t="s">
        <v>61</v>
      </c>
      <c r="E22" s="12">
        <v>199.9</v>
      </c>
      <c r="F22" s="12">
        <v>204.2</v>
      </c>
      <c r="G22" s="12">
        <v>201</v>
      </c>
      <c r="K22" s="5" t="s">
        <v>61</v>
      </c>
      <c r="L22" s="12">
        <f t="shared" ref="L22:L28" si="2">SUMIF($D$7:$D$34,K22,$F$7:$F$34)</f>
        <v>561.4</v>
      </c>
      <c r="M22" s="13">
        <f t="shared" ref="M22:M28" si="3">L22/$L$29</f>
        <v>0.12096791570600531</v>
      </c>
      <c r="O22" s="5" t="s">
        <v>61</v>
      </c>
      <c r="P22" s="13">
        <v>0.12096791570600531</v>
      </c>
    </row>
    <row r="23" spans="3:16" x14ac:dyDescent="0.3">
      <c r="C23" s="6" t="s">
        <v>17</v>
      </c>
      <c r="D23" s="5" t="s">
        <v>17</v>
      </c>
      <c r="E23" s="12">
        <v>191.2</v>
      </c>
      <c r="F23" s="12">
        <v>181.3</v>
      </c>
      <c r="G23" s="12">
        <v>187.3</v>
      </c>
      <c r="K23" s="5" t="s">
        <v>17</v>
      </c>
      <c r="L23" s="12">
        <f t="shared" si="2"/>
        <v>528.70000000000005</v>
      </c>
      <c r="M23" s="13">
        <f t="shared" si="3"/>
        <v>0.1139218686030727</v>
      </c>
      <c r="O23" s="5" t="s">
        <v>17</v>
      </c>
      <c r="P23" s="13">
        <v>0.1139218686030727</v>
      </c>
    </row>
    <row r="24" spans="3:16" x14ac:dyDescent="0.3">
      <c r="C24" s="6" t="s">
        <v>18</v>
      </c>
      <c r="D24" s="5" t="s">
        <v>17</v>
      </c>
      <c r="E24" s="12">
        <v>187.9</v>
      </c>
      <c r="F24" s="12">
        <v>168.1</v>
      </c>
      <c r="G24" s="12">
        <v>179.7</v>
      </c>
      <c r="K24" s="5" t="s">
        <v>20</v>
      </c>
      <c r="L24" s="12">
        <f t="shared" si="2"/>
        <v>345.7</v>
      </c>
      <c r="M24" s="13">
        <f t="shared" si="3"/>
        <v>7.4489861880238747E-2</v>
      </c>
      <c r="O24" s="5" t="s">
        <v>20</v>
      </c>
      <c r="P24" s="13">
        <v>7.4489861880238747E-2</v>
      </c>
    </row>
    <row r="25" spans="3:16" x14ac:dyDescent="0.3">
      <c r="C25" s="6" t="s">
        <v>19</v>
      </c>
      <c r="D25" s="5" t="s">
        <v>17</v>
      </c>
      <c r="E25" s="12">
        <v>190.8</v>
      </c>
      <c r="F25" s="12">
        <v>179.3</v>
      </c>
      <c r="G25" s="12">
        <v>186.2</v>
      </c>
      <c r="K25" s="5" t="s">
        <v>63</v>
      </c>
      <c r="L25" s="12">
        <f t="shared" si="2"/>
        <v>183.4</v>
      </c>
      <c r="M25" s="13">
        <f t="shared" si="3"/>
        <v>3.9518196901463083E-2</v>
      </c>
      <c r="O25" s="5" t="s">
        <v>63</v>
      </c>
      <c r="P25" s="13">
        <v>3.9518196901463083E-2</v>
      </c>
    </row>
    <row r="26" spans="3:16" x14ac:dyDescent="0.3">
      <c r="C26" s="6" t="s">
        <v>20</v>
      </c>
      <c r="D26" s="5" t="s">
        <v>20</v>
      </c>
      <c r="E26" s="12" t="s">
        <v>48</v>
      </c>
      <c r="F26" s="12">
        <v>175.6</v>
      </c>
      <c r="G26" s="12">
        <v>175.6</v>
      </c>
      <c r="K26" s="5" t="s">
        <v>64</v>
      </c>
      <c r="L26" s="12">
        <f t="shared" si="2"/>
        <v>182.2</v>
      </c>
      <c r="M26" s="13">
        <f t="shared" si="3"/>
        <v>3.9259626365575645E-2</v>
      </c>
      <c r="O26" s="5" t="s">
        <v>64</v>
      </c>
      <c r="P26" s="13">
        <v>3.9259626365575645E-2</v>
      </c>
    </row>
    <row r="27" spans="3:16" x14ac:dyDescent="0.3">
      <c r="C27" s="6" t="s">
        <v>21</v>
      </c>
      <c r="D27" s="5" t="s">
        <v>63</v>
      </c>
      <c r="E27" s="12">
        <v>182.5</v>
      </c>
      <c r="F27" s="12">
        <v>183.4</v>
      </c>
      <c r="G27" s="12">
        <v>182.8</v>
      </c>
      <c r="K27" s="5" t="s">
        <v>62</v>
      </c>
      <c r="L27" s="12">
        <f t="shared" si="2"/>
        <v>160.4</v>
      </c>
      <c r="M27" s="13">
        <f t="shared" si="3"/>
        <v>3.4562261630287236E-2</v>
      </c>
      <c r="O27" s="5" t="s">
        <v>62</v>
      </c>
      <c r="P27" s="13">
        <v>3.4562261630287236E-2</v>
      </c>
    </row>
    <row r="28" spans="3:16" x14ac:dyDescent="0.3">
      <c r="C28" s="6" t="s">
        <v>22</v>
      </c>
      <c r="D28" s="5" t="s">
        <v>20</v>
      </c>
      <c r="E28" s="12">
        <v>179.8</v>
      </c>
      <c r="F28" s="12">
        <v>170.1</v>
      </c>
      <c r="G28" s="12">
        <v>175.2</v>
      </c>
      <c r="K28" s="5" t="s">
        <v>26</v>
      </c>
      <c r="L28" s="12">
        <f t="shared" si="2"/>
        <v>344</v>
      </c>
      <c r="M28" s="13">
        <f t="shared" si="3"/>
        <v>7.4123553621064889E-2</v>
      </c>
      <c r="O28" s="5" t="s">
        <v>26</v>
      </c>
      <c r="P28" s="13">
        <v>7.4123553621064889E-2</v>
      </c>
    </row>
    <row r="29" spans="3:16" x14ac:dyDescent="0.3">
      <c r="C29" s="6" t="s">
        <v>23</v>
      </c>
      <c r="D29" s="5" t="s">
        <v>64</v>
      </c>
      <c r="E29" s="12">
        <v>187.8</v>
      </c>
      <c r="F29" s="12">
        <v>182.2</v>
      </c>
      <c r="G29" s="12">
        <v>185.7</v>
      </c>
      <c r="L29">
        <f>SUM(L21:L28)</f>
        <v>4640.8999999999996</v>
      </c>
    </row>
    <row r="30" spans="3:16" x14ac:dyDescent="0.3">
      <c r="C30" s="6" t="s">
        <v>24</v>
      </c>
      <c r="D30" s="5" t="s">
        <v>62</v>
      </c>
      <c r="E30" s="12">
        <v>169.7</v>
      </c>
      <c r="F30" s="12">
        <v>160.4</v>
      </c>
      <c r="G30" s="12">
        <v>164.8</v>
      </c>
    </row>
    <row r="31" spans="3:16" ht="25.8" x14ac:dyDescent="0.5">
      <c r="C31" s="6" t="s">
        <v>25</v>
      </c>
      <c r="D31" s="5" t="s">
        <v>26</v>
      </c>
      <c r="E31" s="12">
        <v>173.8</v>
      </c>
      <c r="F31" s="12">
        <v>169.2</v>
      </c>
      <c r="G31" s="12">
        <v>171.2</v>
      </c>
      <c r="K31" s="54" t="s">
        <v>66</v>
      </c>
    </row>
    <row r="32" spans="3:16" x14ac:dyDescent="0.3">
      <c r="C32" s="6" t="s">
        <v>26</v>
      </c>
      <c r="D32" s="5" t="s">
        <v>26</v>
      </c>
      <c r="E32" s="12">
        <v>180.3</v>
      </c>
      <c r="F32" s="12">
        <v>174.8</v>
      </c>
      <c r="G32" s="12">
        <v>177.1</v>
      </c>
      <c r="K32" s="9" t="s">
        <v>59</v>
      </c>
      <c r="L32" s="10" t="s">
        <v>66</v>
      </c>
      <c r="M32" s="7" t="s">
        <v>65</v>
      </c>
      <c r="O32" s="9" t="s">
        <v>59</v>
      </c>
      <c r="P32" s="7" t="s">
        <v>65</v>
      </c>
    </row>
    <row r="33" spans="3:16" x14ac:dyDescent="0.3">
      <c r="C33" s="6" t="s">
        <v>27</v>
      </c>
      <c r="D33" s="5" t="s">
        <v>61</v>
      </c>
      <c r="E33" s="12">
        <v>184.9</v>
      </c>
      <c r="F33" s="12">
        <v>185.6</v>
      </c>
      <c r="G33" s="12">
        <v>185.2</v>
      </c>
      <c r="K33" s="5" t="s">
        <v>60</v>
      </c>
      <c r="L33" s="12">
        <f>SUMIF($D$7:$D$34,K33,$G$7:$G$34)</f>
        <v>2306.9</v>
      </c>
      <c r="M33" s="13">
        <f>L33/$L$41</f>
        <v>0.49563853557923682</v>
      </c>
      <c r="O33" s="5" t="s">
        <v>60</v>
      </c>
      <c r="P33" s="13">
        <v>0.49563853557923682</v>
      </c>
    </row>
    <row r="34" spans="3:16" x14ac:dyDescent="0.3">
      <c r="C34" s="6" t="s">
        <v>28</v>
      </c>
      <c r="D34" s="5" t="s">
        <v>61</v>
      </c>
      <c r="E34" s="12">
        <v>179.5</v>
      </c>
      <c r="F34" s="12">
        <v>171.6</v>
      </c>
      <c r="G34" s="12">
        <v>175.7</v>
      </c>
      <c r="K34" s="5" t="s">
        <v>61</v>
      </c>
      <c r="L34" s="12">
        <f t="shared" ref="L34:L40" si="4">SUMIF($D$7:$D$34,K34,$G$7:$G$34)</f>
        <v>561.9</v>
      </c>
      <c r="M34" s="13">
        <f t="shared" ref="M34:M40" si="5">L34/$L$41</f>
        <v>0.12072447576486764</v>
      </c>
      <c r="O34" s="5" t="s">
        <v>61</v>
      </c>
      <c r="P34" s="13">
        <v>0.12072447576486764</v>
      </c>
    </row>
    <row r="35" spans="3:16" x14ac:dyDescent="0.3">
      <c r="K35" s="5" t="s">
        <v>17</v>
      </c>
      <c r="L35" s="12">
        <f t="shared" si="4"/>
        <v>553.20000000000005</v>
      </c>
      <c r="M35" s="13">
        <f t="shared" si="5"/>
        <v>0.11885527672739772</v>
      </c>
      <c r="O35" s="5" t="s">
        <v>17</v>
      </c>
      <c r="P35" s="13">
        <v>0.11885527672739772</v>
      </c>
    </row>
    <row r="36" spans="3:16" x14ac:dyDescent="0.3">
      <c r="K36" s="5" t="s">
        <v>20</v>
      </c>
      <c r="L36" s="12">
        <f t="shared" si="4"/>
        <v>350.79999999999995</v>
      </c>
      <c r="M36" s="13">
        <f t="shared" si="5"/>
        <v>7.5369542798212424E-2</v>
      </c>
      <c r="O36" s="5" t="s">
        <v>20</v>
      </c>
      <c r="P36" s="13">
        <v>7.5369542798212424E-2</v>
      </c>
    </row>
    <row r="37" spans="3:16" x14ac:dyDescent="0.3">
      <c r="K37" s="5" t="s">
        <v>63</v>
      </c>
      <c r="L37" s="12">
        <f t="shared" si="4"/>
        <v>182.8</v>
      </c>
      <c r="M37" s="13">
        <f t="shared" si="5"/>
        <v>3.9274664833276039E-2</v>
      </c>
      <c r="O37" s="5" t="s">
        <v>63</v>
      </c>
      <c r="P37" s="13">
        <v>3.9274664833276039E-2</v>
      </c>
    </row>
    <row r="38" spans="3:16" x14ac:dyDescent="0.3">
      <c r="K38" s="5" t="s">
        <v>64</v>
      </c>
      <c r="L38" s="12">
        <f t="shared" si="4"/>
        <v>185.7</v>
      </c>
      <c r="M38" s="13">
        <f t="shared" si="5"/>
        <v>3.9897731179099338E-2</v>
      </c>
      <c r="O38" s="5" t="s">
        <v>64</v>
      </c>
      <c r="P38" s="13">
        <v>3.9897731179099338E-2</v>
      </c>
    </row>
    <row r="39" spans="3:16" x14ac:dyDescent="0.3">
      <c r="K39" s="5" t="s">
        <v>62</v>
      </c>
      <c r="L39" s="12">
        <f t="shared" si="4"/>
        <v>164.8</v>
      </c>
      <c r="M39" s="13">
        <f t="shared" si="5"/>
        <v>3.5407356479889997E-2</v>
      </c>
      <c r="O39" s="5" t="s">
        <v>62</v>
      </c>
      <c r="P39" s="13">
        <v>3.5407356479889997E-2</v>
      </c>
    </row>
    <row r="40" spans="3:16" x14ac:dyDescent="0.3">
      <c r="K40" s="5" t="s">
        <v>26</v>
      </c>
      <c r="L40" s="12">
        <f t="shared" si="4"/>
        <v>348.29999999999995</v>
      </c>
      <c r="M40" s="13">
        <f t="shared" si="5"/>
        <v>7.4832416638019914E-2</v>
      </c>
      <c r="O40" s="5" t="s">
        <v>26</v>
      </c>
      <c r="P40" s="13">
        <v>7.4832416638019914E-2</v>
      </c>
    </row>
    <row r="41" spans="3:16" x14ac:dyDescent="0.3">
      <c r="L41">
        <f>SUM(L33:L40)</f>
        <v>4654.4000000000005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7634-8059-444B-8A79-1F26EDFC6FFD}">
  <dimension ref="A1:G62"/>
  <sheetViews>
    <sheetView topLeftCell="A46" zoomScaleNormal="100" workbookViewId="0">
      <selection activeCell="L51" sqref="L51"/>
    </sheetView>
  </sheetViews>
  <sheetFormatPr defaultRowHeight="14.4" x14ac:dyDescent="0.3"/>
  <cols>
    <col min="1" max="1" width="15.33203125" customWidth="1"/>
    <col min="4" max="4" width="12.44140625" bestFit="1" customWidth="1"/>
    <col min="7" max="7" width="12.44140625" bestFit="1" customWidth="1"/>
  </cols>
  <sheetData>
    <row r="1" spans="1:7" x14ac:dyDescent="0.3">
      <c r="A1" s="14" t="s">
        <v>66</v>
      </c>
    </row>
    <row r="3" spans="1:7" x14ac:dyDescent="0.3">
      <c r="A3" s="10" t="s">
        <v>67</v>
      </c>
      <c r="B3" s="10" t="s">
        <v>68</v>
      </c>
      <c r="C3" s="10" t="s">
        <v>69</v>
      </c>
      <c r="D3" s="10" t="s">
        <v>70</v>
      </c>
      <c r="F3" s="10" t="s">
        <v>67</v>
      </c>
      <c r="G3" s="10" t="s">
        <v>70</v>
      </c>
    </row>
    <row r="4" spans="1:7" x14ac:dyDescent="0.3">
      <c r="A4">
        <v>2017</v>
      </c>
      <c r="B4">
        <v>130.30000000000001</v>
      </c>
      <c r="C4">
        <v>137.19999999999999</v>
      </c>
      <c r="D4" s="2">
        <f>(C4-B4)/B4</f>
        <v>5.295471987720627E-2</v>
      </c>
      <c r="F4">
        <v>2017</v>
      </c>
      <c r="G4" s="2">
        <v>5.2954719877206298E-2</v>
      </c>
    </row>
    <row r="5" spans="1:7" x14ac:dyDescent="0.3">
      <c r="A5">
        <f t="shared" ref="A5:A10" si="0">A4+1</f>
        <v>2018</v>
      </c>
      <c r="B5">
        <v>136.9</v>
      </c>
      <c r="C5">
        <v>140.1</v>
      </c>
      <c r="D5" s="2">
        <f t="shared" ref="D5:D9" si="1">(C5-B5)/B5</f>
        <v>2.3374726077428697E-2</v>
      </c>
      <c r="F5">
        <f t="shared" ref="F5:F10" si="2">F4+1</f>
        <v>2018</v>
      </c>
      <c r="G5" s="2">
        <v>2.3374726077428697E-2</v>
      </c>
    </row>
    <row r="6" spans="1:7" x14ac:dyDescent="0.3">
      <c r="A6">
        <f t="shared" si="0"/>
        <v>2019</v>
      </c>
      <c r="B6">
        <v>139.6</v>
      </c>
      <c r="C6">
        <v>150.4</v>
      </c>
      <c r="D6" s="2">
        <f t="shared" si="1"/>
        <v>7.7363896848137617E-2</v>
      </c>
      <c r="F6">
        <f t="shared" si="2"/>
        <v>2019</v>
      </c>
      <c r="G6" s="2">
        <v>7.7363896848137617E-2</v>
      </c>
    </row>
    <row r="7" spans="1:7" x14ac:dyDescent="0.3">
      <c r="A7">
        <f t="shared" si="0"/>
        <v>2020</v>
      </c>
      <c r="B7">
        <v>150.19999999999999</v>
      </c>
      <c r="C7">
        <v>158.9</v>
      </c>
      <c r="D7" s="2">
        <f t="shared" si="1"/>
        <v>5.7922769640479481E-2</v>
      </c>
      <c r="F7">
        <f t="shared" si="2"/>
        <v>2020</v>
      </c>
      <c r="G7" s="2">
        <v>5.7922769640479481E-2</v>
      </c>
    </row>
    <row r="8" spans="1:7" x14ac:dyDescent="0.3">
      <c r="A8">
        <f t="shared" si="0"/>
        <v>2021</v>
      </c>
      <c r="B8">
        <v>157.30000000000001</v>
      </c>
      <c r="C8">
        <v>166.2</v>
      </c>
      <c r="D8" s="2">
        <f t="shared" si="1"/>
        <v>5.657978385251098E-2</v>
      </c>
      <c r="F8">
        <f t="shared" si="2"/>
        <v>2021</v>
      </c>
      <c r="G8" s="2">
        <v>5.657978385251098E-2</v>
      </c>
    </row>
    <row r="9" spans="1:7" x14ac:dyDescent="0.3">
      <c r="A9">
        <f t="shared" si="0"/>
        <v>2022</v>
      </c>
      <c r="B9">
        <v>165.7</v>
      </c>
      <c r="C9">
        <v>175.7</v>
      </c>
      <c r="D9" s="2">
        <f t="shared" si="1"/>
        <v>6.0350030175015092E-2</v>
      </c>
      <c r="F9">
        <f t="shared" si="2"/>
        <v>2022</v>
      </c>
      <c r="G9" s="2">
        <v>6.0350030175015092E-2</v>
      </c>
    </row>
    <row r="10" spans="1:7" x14ac:dyDescent="0.3">
      <c r="A10">
        <f t="shared" si="0"/>
        <v>2023</v>
      </c>
      <c r="B10">
        <v>176.5</v>
      </c>
      <c r="F10">
        <f t="shared" si="2"/>
        <v>2023</v>
      </c>
    </row>
    <row r="14" spans="1:7" x14ac:dyDescent="0.3">
      <c r="A14" t="s">
        <v>71</v>
      </c>
    </row>
    <row r="17" spans="1:7" x14ac:dyDescent="0.3">
      <c r="A17" s="15" t="s">
        <v>30</v>
      </c>
    </row>
    <row r="19" spans="1:7" x14ac:dyDescent="0.3">
      <c r="A19" s="10" t="s">
        <v>67</v>
      </c>
      <c r="B19" s="10" t="s">
        <v>68</v>
      </c>
      <c r="C19" s="10" t="s">
        <v>69</v>
      </c>
      <c r="D19" s="10" t="s">
        <v>70</v>
      </c>
      <c r="F19" s="10" t="s">
        <v>67</v>
      </c>
      <c r="G19" s="10" t="s">
        <v>70</v>
      </c>
    </row>
    <row r="20" spans="1:7" x14ac:dyDescent="0.3">
      <c r="A20">
        <v>2017</v>
      </c>
      <c r="B20">
        <v>132.4</v>
      </c>
      <c r="C20">
        <v>139.80000000000001</v>
      </c>
      <c r="D20" s="2">
        <f>(C20-B20)/B20</f>
        <v>5.5891238670694905E-2</v>
      </c>
      <c r="F20">
        <v>2017</v>
      </c>
      <c r="G20" s="2">
        <v>5.5891238670694898E-2</v>
      </c>
    </row>
    <row r="21" spans="1:7" x14ac:dyDescent="0.3">
      <c r="A21">
        <f t="shared" ref="A21:A26" si="3">A20+1</f>
        <v>2018</v>
      </c>
      <c r="B21">
        <v>139.30000000000001</v>
      </c>
      <c r="C21">
        <v>141.9</v>
      </c>
      <c r="D21" s="2">
        <f t="shared" ref="D21:D25" si="4">(C21-B21)/B21</f>
        <v>1.8664752333094E-2</v>
      </c>
      <c r="F21">
        <f t="shared" ref="F21:F26" si="5">F20+1</f>
        <v>2018</v>
      </c>
      <c r="G21" s="2">
        <v>1.8664752333094E-2</v>
      </c>
    </row>
    <row r="22" spans="1:7" x14ac:dyDescent="0.3">
      <c r="A22">
        <f t="shared" si="3"/>
        <v>2019</v>
      </c>
      <c r="B22">
        <v>141</v>
      </c>
      <c r="C22">
        <v>152.30000000000001</v>
      </c>
      <c r="D22" s="2">
        <f t="shared" si="4"/>
        <v>8.014184397163128E-2</v>
      </c>
      <c r="F22">
        <f t="shared" si="5"/>
        <v>2019</v>
      </c>
      <c r="G22" s="2">
        <v>8.014184397163128E-2</v>
      </c>
    </row>
    <row r="23" spans="1:7" x14ac:dyDescent="0.3">
      <c r="A23">
        <f t="shared" si="3"/>
        <v>2020</v>
      </c>
      <c r="B23">
        <v>151.9</v>
      </c>
      <c r="C23">
        <v>160.69999999999999</v>
      </c>
      <c r="D23" s="2">
        <f t="shared" si="4"/>
        <v>5.7932850559578558E-2</v>
      </c>
      <c r="F23">
        <f t="shared" si="5"/>
        <v>2020</v>
      </c>
      <c r="G23" s="2">
        <v>5.7932850559578558E-2</v>
      </c>
    </row>
    <row r="24" spans="1:7" x14ac:dyDescent="0.3">
      <c r="A24">
        <f t="shared" si="3"/>
        <v>2021</v>
      </c>
      <c r="B24">
        <v>158.5</v>
      </c>
      <c r="C24">
        <v>167</v>
      </c>
      <c r="D24" s="2">
        <f t="shared" si="4"/>
        <v>5.362776025236593E-2</v>
      </c>
      <c r="F24">
        <f t="shared" si="5"/>
        <v>2021</v>
      </c>
      <c r="G24" s="2">
        <v>5.362776025236593E-2</v>
      </c>
    </row>
    <row r="25" spans="1:7" x14ac:dyDescent="0.3">
      <c r="A25">
        <f t="shared" si="3"/>
        <v>2022</v>
      </c>
      <c r="B25">
        <v>166.4</v>
      </c>
      <c r="C25">
        <v>177.1</v>
      </c>
      <c r="D25" s="2">
        <f t="shared" si="4"/>
        <v>6.430288461538454E-2</v>
      </c>
      <c r="F25">
        <f t="shared" si="5"/>
        <v>2022</v>
      </c>
      <c r="G25" s="2">
        <v>6.430288461538454E-2</v>
      </c>
    </row>
    <row r="26" spans="1:7" x14ac:dyDescent="0.3">
      <c r="A26">
        <f t="shared" si="3"/>
        <v>2023</v>
      </c>
      <c r="B26">
        <v>177.8</v>
      </c>
      <c r="F26">
        <f t="shared" si="5"/>
        <v>2023</v>
      </c>
    </row>
    <row r="35" spans="1:7" x14ac:dyDescent="0.3">
      <c r="A35" s="16" t="s">
        <v>33</v>
      </c>
    </row>
    <row r="37" spans="1:7" x14ac:dyDescent="0.3">
      <c r="A37" s="10" t="s">
        <v>67</v>
      </c>
      <c r="B37" s="10" t="s">
        <v>68</v>
      </c>
      <c r="C37" s="10" t="s">
        <v>69</v>
      </c>
      <c r="D37" s="10" t="s">
        <v>70</v>
      </c>
      <c r="F37" s="10" t="s">
        <v>67</v>
      </c>
      <c r="G37" s="10" t="s">
        <v>70</v>
      </c>
    </row>
    <row r="38" spans="1:7" x14ac:dyDescent="0.3">
      <c r="A38">
        <v>2017</v>
      </c>
      <c r="B38">
        <v>127.8</v>
      </c>
      <c r="C38">
        <v>134.1</v>
      </c>
      <c r="D38" s="2">
        <f>(C38-B38)/B38</f>
        <v>4.92957746478873E-2</v>
      </c>
      <c r="F38">
        <v>2017</v>
      </c>
      <c r="G38" s="2">
        <v>4.92957746478873E-2</v>
      </c>
    </row>
    <row r="39" spans="1:7" x14ac:dyDescent="0.3">
      <c r="A39">
        <f t="shared" ref="A39:A44" si="6">A38+1</f>
        <v>2018</v>
      </c>
      <c r="B39">
        <v>134.1</v>
      </c>
      <c r="C39">
        <v>138</v>
      </c>
      <c r="D39" s="2">
        <f t="shared" ref="D39:D43" si="7">(C39-B39)/B39</f>
        <v>2.9082774049217046E-2</v>
      </c>
      <c r="F39">
        <f t="shared" ref="F39:F44" si="8">F38+1</f>
        <v>2018</v>
      </c>
      <c r="G39" s="2">
        <v>2.9082774049217046E-2</v>
      </c>
    </row>
    <row r="40" spans="1:7" x14ac:dyDescent="0.3">
      <c r="A40">
        <f t="shared" si="6"/>
        <v>2019</v>
      </c>
      <c r="B40">
        <v>138</v>
      </c>
      <c r="C40">
        <v>148.30000000000001</v>
      </c>
      <c r="D40" s="2">
        <f t="shared" si="7"/>
        <v>7.4637681159420377E-2</v>
      </c>
      <c r="F40">
        <f t="shared" si="8"/>
        <v>2019</v>
      </c>
      <c r="G40" s="2">
        <v>7.4637681159420377E-2</v>
      </c>
    </row>
    <row r="41" spans="1:7" x14ac:dyDescent="0.3">
      <c r="A41">
        <f t="shared" si="6"/>
        <v>2020</v>
      </c>
      <c r="B41">
        <v>148.19999999999999</v>
      </c>
      <c r="C41">
        <v>156.9</v>
      </c>
      <c r="D41" s="2">
        <f t="shared" si="7"/>
        <v>5.8704453441295663E-2</v>
      </c>
      <c r="F41">
        <f t="shared" si="8"/>
        <v>2020</v>
      </c>
      <c r="G41" s="2">
        <v>5.8704453441295663E-2</v>
      </c>
    </row>
    <row r="42" spans="1:7" x14ac:dyDescent="0.3">
      <c r="A42">
        <f t="shared" si="6"/>
        <v>2021</v>
      </c>
      <c r="B42">
        <v>156</v>
      </c>
      <c r="C42">
        <v>165.2</v>
      </c>
      <c r="D42" s="2">
        <f t="shared" si="7"/>
        <v>5.8974358974358904E-2</v>
      </c>
      <c r="F42">
        <f t="shared" si="8"/>
        <v>2021</v>
      </c>
      <c r="G42" s="2">
        <v>5.8974358974358904E-2</v>
      </c>
    </row>
    <row r="43" spans="1:7" x14ac:dyDescent="0.3">
      <c r="A43">
        <f t="shared" si="6"/>
        <v>2022</v>
      </c>
      <c r="B43">
        <v>165</v>
      </c>
      <c r="C43">
        <v>174.1</v>
      </c>
      <c r="D43" s="2">
        <f t="shared" si="7"/>
        <v>5.5151515151515118E-2</v>
      </c>
      <c r="F43">
        <f t="shared" si="8"/>
        <v>2022</v>
      </c>
      <c r="G43" s="2">
        <v>5.5151515151515118E-2</v>
      </c>
    </row>
    <row r="44" spans="1:7" x14ac:dyDescent="0.3">
      <c r="A44">
        <f t="shared" si="6"/>
        <v>2023</v>
      </c>
      <c r="B44">
        <v>174.9</v>
      </c>
      <c r="F44">
        <f t="shared" si="8"/>
        <v>2023</v>
      </c>
    </row>
    <row r="51" spans="1:7" ht="21" x14ac:dyDescent="0.4">
      <c r="A51" s="17" t="s">
        <v>72</v>
      </c>
      <c r="B51" s="17"/>
      <c r="C51" s="17"/>
      <c r="D51" s="17"/>
      <c r="E51" s="17"/>
      <c r="F51" s="17"/>
      <c r="G51" s="17"/>
    </row>
    <row r="54" spans="1:7" x14ac:dyDescent="0.3">
      <c r="A54" t="s">
        <v>73</v>
      </c>
    </row>
    <row r="55" spans="1:7" x14ac:dyDescent="0.3">
      <c r="A55" s="18"/>
    </row>
    <row r="56" spans="1:7" x14ac:dyDescent="0.3">
      <c r="A56" s="19" t="s">
        <v>74</v>
      </c>
    </row>
    <row r="57" spans="1:7" x14ac:dyDescent="0.3">
      <c r="A57" s="18"/>
    </row>
    <row r="58" spans="1:7" x14ac:dyDescent="0.3">
      <c r="A58" s="19" t="s">
        <v>75</v>
      </c>
    </row>
    <row r="59" spans="1:7" x14ac:dyDescent="0.3">
      <c r="A59" s="18"/>
    </row>
    <row r="60" spans="1:7" x14ac:dyDescent="0.3">
      <c r="A60" s="19" t="s">
        <v>76</v>
      </c>
    </row>
    <row r="61" spans="1:7" x14ac:dyDescent="0.3">
      <c r="A61" s="18"/>
    </row>
    <row r="62" spans="1:7" x14ac:dyDescent="0.3">
      <c r="A62" s="19" t="s">
        <v>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40B9-AF5E-4D28-AD24-1AB30D2DAAE6}">
  <dimension ref="A2:W2"/>
  <sheetViews>
    <sheetView showGridLines="0" zoomScale="70" zoomScaleNormal="70" workbookViewId="0">
      <selection activeCell="O34" sqref="O34"/>
    </sheetView>
  </sheetViews>
  <sheetFormatPr defaultRowHeight="14.4" x14ac:dyDescent="0.3"/>
  <cols>
    <col min="15" max="15" width="15.6640625" customWidth="1"/>
    <col min="23" max="23" width="8.77734375" customWidth="1"/>
  </cols>
  <sheetData>
    <row r="2" spans="1:23" ht="36.6" x14ac:dyDescent="0.7">
      <c r="A2" s="10"/>
      <c r="B2" s="10"/>
      <c r="C2" s="10"/>
      <c r="D2" s="10"/>
      <c r="E2" s="10"/>
      <c r="F2" s="10"/>
      <c r="G2" s="10"/>
      <c r="H2" s="59" t="s">
        <v>116</v>
      </c>
      <c r="I2" s="59"/>
      <c r="J2" s="59"/>
      <c r="K2" s="59"/>
      <c r="L2" s="59"/>
      <c r="M2" s="59"/>
      <c r="N2" s="59"/>
      <c r="O2" s="59"/>
      <c r="P2" s="10"/>
      <c r="Q2" s="10"/>
      <c r="R2" s="10"/>
      <c r="S2" s="10"/>
      <c r="T2" s="10"/>
      <c r="U2" s="10"/>
      <c r="V2" s="10"/>
      <c r="W2" s="1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All_India_Index_Upto_April23 (1</vt:lpstr>
      <vt:lpstr>trends in oil price change with</vt:lpstr>
      <vt:lpstr>Before and After Covid 19 Infla</vt:lpstr>
      <vt:lpstr> Food inflation Month-on-Month</vt:lpstr>
      <vt:lpstr>Contribution Ratio of Category</vt:lpstr>
      <vt:lpstr>Trend of YOY Increse in CPI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Rathore</dc:creator>
  <cp:lastModifiedBy>himanshurathore9106@outlook.com</cp:lastModifiedBy>
  <dcterms:created xsi:type="dcterms:W3CDTF">2025-10-08T11:16:53Z</dcterms:created>
  <dcterms:modified xsi:type="dcterms:W3CDTF">2025-11-21T10:09:24Z</dcterms:modified>
</cp:coreProperties>
</file>